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iva Pavilion SSB\Desktop\"/>
    </mc:Choice>
  </mc:AlternateContent>
  <xr:revisionPtr revIDLastSave="0" documentId="13_ncr:1_{51CC2AEC-8CFD-4692-888F-2C3428E79B16}" xr6:coauthVersionLast="44" xr6:coauthVersionMax="44" xr10:uidLastSave="{00000000-0000-0000-0000-000000000000}"/>
  <bookViews>
    <workbookView xWindow="-108" yWindow="-108" windowWidth="23256" windowHeight="12576" firstSheet="1" activeTab="2" xr2:uid="{00000000-000D-0000-FFFF-FFFF00000000}"/>
  </bookViews>
  <sheets>
    <sheet name="Data Nifty" sheetId="2" state="hidden" r:id="rId1"/>
    <sheet name="MAIN OI" sheetId="3" r:id="rId2"/>
    <sheet name="Sheet2" sheetId="14" r:id="rId3"/>
    <sheet name="Sheet1" sheetId="13" r:id="rId4"/>
  </sheets>
  <definedNames>
    <definedName name="_xlnm._FilterDatabase" localSheetId="1" hidden="1">'MAIN OI'!#REF!</definedName>
    <definedName name="_xlnm._FilterDatabase" localSheetId="2" hidden="1">Sheet2!$A$4:$Q$14</definedName>
    <definedName name="optionKeys.jsp?symbolCode__10006_symbol_NIFTY_symbol_NIFTY_instrument___date___segmentLink_17_symbolCount_2_segmentLink_17" localSheetId="0">'Data Nifty'!$C$1:$Y$100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1" i="14" l="1"/>
  <c r="O1" i="14"/>
  <c r="A2" i="2" l="1"/>
  <c r="A4" i="2"/>
  <c r="A3" i="2"/>
  <c r="B64" i="2" l="1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" i="2"/>
  <c r="AA9" i="2" l="1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7" i="2"/>
  <c r="AA8" i="2"/>
  <c r="R6" i="3" l="1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42" i="2" l="1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7" i="2" l="1"/>
  <c r="B7" i="2"/>
  <c r="A8" i="2"/>
  <c r="B8" i="2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A6" i="2" l="1"/>
  <c r="A5" i="2" l="1"/>
  <c r="L3" i="3"/>
  <c r="O3" i="3" l="1"/>
  <c r="J3" i="3"/>
  <c r="M5" i="3" l="1"/>
  <c r="D5" i="3"/>
  <c r="B6" i="2"/>
  <c r="A6" i="2"/>
  <c r="Q3" i="3" l="1"/>
  <c r="L15" i="3" l="1"/>
  <c r="L14" i="3" l="1"/>
  <c r="L13" i="3" s="1"/>
  <c r="L12" i="3" s="1"/>
  <c r="L11" i="3" s="1"/>
  <c r="L10" i="3" s="1"/>
  <c r="L9" i="3" s="1"/>
  <c r="L8" i="3" s="1"/>
  <c r="L7" i="3" s="1"/>
  <c r="L16" i="3"/>
  <c r="L17" i="3" s="1"/>
  <c r="L18" i="3" s="1"/>
  <c r="L19" i="3" s="1"/>
  <c r="L20" i="3" s="1"/>
  <c r="L21" i="3" s="1"/>
  <c r="B15" i="3"/>
  <c r="A15" i="3"/>
  <c r="K15" i="3" s="1"/>
  <c r="B10" i="3" l="1"/>
  <c r="B9" i="3"/>
  <c r="A7" i="3"/>
  <c r="B7" i="3"/>
  <c r="A9" i="3"/>
  <c r="J9" i="3" s="1"/>
  <c r="A10" i="3"/>
  <c r="S6" i="3"/>
  <c r="K7" i="3" l="1"/>
  <c r="G7" i="3"/>
  <c r="J7" i="3"/>
  <c r="I7" i="3"/>
  <c r="F7" i="3" s="1"/>
  <c r="H7" i="3"/>
  <c r="N7" i="3"/>
  <c r="M7" i="3"/>
  <c r="P7" i="3"/>
  <c r="Q7" i="3"/>
  <c r="O7" i="3"/>
  <c r="R7" i="3" s="1"/>
  <c r="O15" i="3"/>
  <c r="R15" i="3" s="1"/>
  <c r="N15" i="3"/>
  <c r="P15" i="3"/>
  <c r="Q15" i="3"/>
  <c r="M15" i="3"/>
  <c r="M9" i="3"/>
  <c r="M10" i="3"/>
  <c r="P9" i="3"/>
  <c r="P10" i="3"/>
  <c r="N10" i="3"/>
  <c r="O10" i="3"/>
  <c r="R10" i="3" s="1"/>
  <c r="O9" i="3"/>
  <c r="R9" i="3" s="1"/>
  <c r="Q9" i="3"/>
  <c r="Q10" i="3"/>
  <c r="N9" i="3"/>
  <c r="H15" i="3"/>
  <c r="I15" i="3"/>
  <c r="F15" i="3" s="1"/>
  <c r="G15" i="3"/>
  <c r="J15" i="3"/>
  <c r="H9" i="3"/>
  <c r="K10" i="3"/>
  <c r="I9" i="3"/>
  <c r="F9" i="3" s="1"/>
  <c r="G10" i="3"/>
  <c r="I10" i="3"/>
  <c r="F10" i="3" s="1"/>
  <c r="K9" i="3"/>
  <c r="J10" i="3"/>
  <c r="G9" i="3"/>
  <c r="H10" i="3"/>
  <c r="S7" i="3" l="1"/>
  <c r="T7" i="3" s="1"/>
  <c r="E7" i="3"/>
  <c r="D7" i="3" s="1"/>
  <c r="E9" i="3"/>
  <c r="D9" i="3" s="1"/>
  <c r="S10" i="3"/>
  <c r="T10" i="3" s="1"/>
  <c r="S15" i="3"/>
  <c r="T15" i="3" s="1"/>
  <c r="S9" i="3"/>
  <c r="T9" i="3" s="1"/>
  <c r="E10" i="3"/>
  <c r="D10" i="3" s="1"/>
  <c r="E15" i="3"/>
  <c r="D15" i="3" s="1"/>
  <c r="A11" i="3"/>
  <c r="B11" i="3"/>
  <c r="A12" i="3"/>
  <c r="B12" i="3"/>
  <c r="A13" i="3" l="1"/>
  <c r="B13" i="3"/>
  <c r="I11" i="3"/>
  <c r="F11" i="3" s="1"/>
  <c r="H11" i="3"/>
  <c r="G11" i="3"/>
  <c r="K11" i="3"/>
  <c r="J11" i="3"/>
  <c r="H12" i="3"/>
  <c r="G12" i="3"/>
  <c r="K12" i="3"/>
  <c r="J12" i="3"/>
  <c r="I12" i="3"/>
  <c r="F12" i="3" s="1"/>
  <c r="P12" i="3"/>
  <c r="M12" i="3"/>
  <c r="Q12" i="3"/>
  <c r="O12" i="3"/>
  <c r="R12" i="3" s="1"/>
  <c r="N12" i="3"/>
  <c r="O11" i="3"/>
  <c r="R11" i="3" s="1"/>
  <c r="P11" i="3"/>
  <c r="N11" i="3"/>
  <c r="M11" i="3"/>
  <c r="Q11" i="3"/>
  <c r="A14" i="3" l="1"/>
  <c r="I14" i="3" s="1"/>
  <c r="F14" i="3" s="1"/>
  <c r="B14" i="3"/>
  <c r="K13" i="3"/>
  <c r="G13" i="3"/>
  <c r="H13" i="3"/>
  <c r="I13" i="3"/>
  <c r="F13" i="3" s="1"/>
  <c r="J13" i="3"/>
  <c r="M13" i="3"/>
  <c r="O13" i="3"/>
  <c r="R13" i="3" s="1"/>
  <c r="P13" i="3"/>
  <c r="N13" i="3"/>
  <c r="Q13" i="3"/>
  <c r="E12" i="3"/>
  <c r="D12" i="3" s="1"/>
  <c r="E11" i="3"/>
  <c r="D11" i="3" s="1"/>
  <c r="S11" i="3"/>
  <c r="T11" i="3" s="1"/>
  <c r="S12" i="3"/>
  <c r="T12" i="3" s="1"/>
  <c r="M14" i="3" l="1"/>
  <c r="P14" i="3"/>
  <c r="N14" i="3"/>
  <c r="O14" i="3"/>
  <c r="R14" i="3" s="1"/>
  <c r="Q14" i="3"/>
  <c r="S13" i="3"/>
  <c r="T13" i="3" s="1"/>
  <c r="E13" i="3"/>
  <c r="D13" i="3" s="1"/>
  <c r="H14" i="3"/>
  <c r="K14" i="3"/>
  <c r="J14" i="3"/>
  <c r="G14" i="3"/>
  <c r="E14" i="3" l="1"/>
  <c r="D14" i="3" s="1"/>
  <c r="S14" i="3"/>
  <c r="T14" i="3" s="1"/>
  <c r="A8" i="3" l="1"/>
  <c r="B8" i="3"/>
  <c r="B16" i="3"/>
  <c r="A16" i="3"/>
  <c r="O8" i="3" l="1"/>
  <c r="R8" i="3" s="1"/>
  <c r="M8" i="3"/>
  <c r="P8" i="3"/>
  <c r="N8" i="3"/>
  <c r="Q8" i="3"/>
  <c r="J8" i="3"/>
  <c r="H8" i="3"/>
  <c r="G8" i="3"/>
  <c r="I8" i="3"/>
  <c r="F8" i="3" s="1"/>
  <c r="K8" i="3"/>
  <c r="B17" i="3"/>
  <c r="N17" i="3" s="1"/>
  <c r="A17" i="3"/>
  <c r="P16" i="3"/>
  <c r="N16" i="3"/>
  <c r="O16" i="3"/>
  <c r="R16" i="3" s="1"/>
  <c r="Q16" i="3"/>
  <c r="M16" i="3"/>
  <c r="G16" i="3"/>
  <c r="I16" i="3"/>
  <c r="F16" i="3" s="1"/>
  <c r="H16" i="3"/>
  <c r="J16" i="3"/>
  <c r="K16" i="3"/>
  <c r="E8" i="3" l="1"/>
  <c r="D8" i="3" s="1"/>
  <c r="S8" i="3"/>
  <c r="T8" i="3" s="1"/>
  <c r="Q17" i="3"/>
  <c r="M17" i="3"/>
  <c r="P17" i="3"/>
  <c r="O17" i="3"/>
  <c r="R17" i="3" s="1"/>
  <c r="G17" i="3"/>
  <c r="K17" i="3"/>
  <c r="H17" i="3"/>
  <c r="J17" i="3"/>
  <c r="I17" i="3"/>
  <c r="F17" i="3" s="1"/>
  <c r="A18" i="3"/>
  <c r="B18" i="3"/>
  <c r="E16" i="3"/>
  <c r="D16" i="3" s="1"/>
  <c r="S16" i="3"/>
  <c r="T16" i="3" s="1"/>
  <c r="A19" i="3" l="1"/>
  <c r="B19" i="3"/>
  <c r="S17" i="3"/>
  <c r="T17" i="3" s="1"/>
  <c r="E17" i="3"/>
  <c r="D17" i="3" s="1"/>
  <c r="J18" i="3"/>
  <c r="G18" i="3"/>
  <c r="K18" i="3"/>
  <c r="I18" i="3"/>
  <c r="F18" i="3" s="1"/>
  <c r="H18" i="3"/>
  <c r="O18" i="3"/>
  <c r="R18" i="3" s="1"/>
  <c r="Q18" i="3"/>
  <c r="N18" i="3"/>
  <c r="P18" i="3"/>
  <c r="M18" i="3"/>
  <c r="E18" i="3" l="1"/>
  <c r="D18" i="3" s="1"/>
  <c r="Q19" i="3"/>
  <c r="N19" i="3"/>
  <c r="M19" i="3"/>
  <c r="O19" i="3"/>
  <c r="R19" i="3" s="1"/>
  <c r="P19" i="3"/>
  <c r="S18" i="3"/>
  <c r="T18" i="3" s="1"/>
  <c r="A20" i="3"/>
  <c r="B20" i="3"/>
  <c r="K19" i="3"/>
  <c r="H19" i="3"/>
  <c r="J19" i="3"/>
  <c r="G19" i="3"/>
  <c r="I19" i="3"/>
  <c r="F19" i="3" s="1"/>
  <c r="L22" i="3" l="1"/>
  <c r="A21" i="3"/>
  <c r="B21" i="3"/>
  <c r="G20" i="3"/>
  <c r="J20" i="3"/>
  <c r="I20" i="3"/>
  <c r="F20" i="3" s="1"/>
  <c r="K20" i="3"/>
  <c r="H20" i="3"/>
  <c r="S19" i="3"/>
  <c r="T19" i="3" s="1"/>
  <c r="N20" i="3"/>
  <c r="M20" i="3"/>
  <c r="Q20" i="3"/>
  <c r="P20" i="3"/>
  <c r="O20" i="3"/>
  <c r="R20" i="3" s="1"/>
  <c r="E19" i="3"/>
  <c r="D19" i="3" s="1"/>
  <c r="P21" i="3" l="1"/>
  <c r="M21" i="3"/>
  <c r="Q21" i="3"/>
  <c r="O21" i="3"/>
  <c r="R21" i="3" s="1"/>
  <c r="N21" i="3"/>
  <c r="A22" i="3"/>
  <c r="H22" i="3" s="1"/>
  <c r="B22" i="3"/>
  <c r="S20" i="3"/>
  <c r="T20" i="3" s="1"/>
  <c r="E20" i="3"/>
  <c r="D20" i="3" s="1"/>
  <c r="G21" i="3"/>
  <c r="H21" i="3"/>
  <c r="J21" i="3"/>
  <c r="I21" i="3"/>
  <c r="F21" i="3" s="1"/>
  <c r="K21" i="3"/>
  <c r="J22" i="3" l="1"/>
  <c r="I22" i="3"/>
  <c r="F22" i="3" s="1"/>
  <c r="G22" i="3"/>
  <c r="K22" i="3"/>
  <c r="E21" i="3"/>
  <c r="D21" i="3" s="1"/>
  <c r="S21" i="3"/>
  <c r="T21" i="3" s="1"/>
  <c r="O22" i="3"/>
  <c r="R22" i="3" s="1"/>
  <c r="Q22" i="3"/>
  <c r="M22" i="3"/>
  <c r="N22" i="3"/>
  <c r="P22" i="3"/>
  <c r="E22" i="3" l="1"/>
  <c r="D22" i="3" s="1"/>
  <c r="S22" i="3"/>
  <c r="T2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interval="1" name="Connection" type="4" refreshedVersion="6" background="1" refreshOnLoad="1" saveData="1">
    <webPr sourceData="1" parsePre="1" consecutive="1" xl2000="1" url="https://www.nseindia.com/live_market/dynaContent/live_watch/option_chain/optionKeys.jsp?symbolCode=-9999&amp;symbol=BANKNIFTY&amp;symbol=BANKNIFTY&amp;instrument=OPTIDX&amp;date=-&amp;segmentLink=17&amp;segmentLink=17"/>
  </connection>
</connections>
</file>

<file path=xl/sharedStrings.xml><?xml version="1.0" encoding="utf-8"?>
<sst xmlns="http://schemas.openxmlformats.org/spreadsheetml/2006/main" count="1285" uniqueCount="83">
  <si>
    <t>CALLS</t>
  </si>
  <si>
    <t>PUTS</t>
  </si>
  <si>
    <t>Chart</t>
  </si>
  <si>
    <t>OI</t>
  </si>
  <si>
    <t>Chng in OI</t>
  </si>
  <si>
    <t>Volume</t>
  </si>
  <si>
    <t>IV</t>
  </si>
  <si>
    <t>LTP</t>
  </si>
  <si>
    <t>Net Chng</t>
  </si>
  <si>
    <t>Bid</t>
  </si>
  <si>
    <t>Qty</t>
  </si>
  <si>
    <t>Price</t>
  </si>
  <si>
    <t>Ask</t>
  </si>
  <si>
    <t>Strike Price</t>
  </si>
  <si>
    <t>-</t>
  </si>
  <si>
    <t>Option Chain (Equity Derivatives)</t>
  </si>
  <si>
    <t>Interpretation</t>
  </si>
  <si>
    <t>OI change</t>
  </si>
  <si>
    <t>strike</t>
  </si>
  <si>
    <t>Total</t>
  </si>
  <si>
    <t>Call Volume</t>
  </si>
  <si>
    <t>Put Volume</t>
  </si>
  <si>
    <t>Put Price Change</t>
  </si>
  <si>
    <t>Put LTP</t>
  </si>
  <si>
    <t>Put Change in OI</t>
  </si>
  <si>
    <t>Put Net OI</t>
  </si>
  <si>
    <t>Call LTP</t>
  </si>
  <si>
    <t>Call change in OI</t>
  </si>
  <si>
    <t>Call Net OI</t>
  </si>
  <si>
    <t>Call Price change</t>
  </si>
  <si>
    <t>Todays Date</t>
  </si>
  <si>
    <t>Change in OI</t>
  </si>
  <si>
    <t xml:space="preserve">Strike PCR </t>
  </si>
  <si>
    <t>Call</t>
  </si>
  <si>
    <t>Put</t>
  </si>
  <si>
    <t>Signal</t>
  </si>
  <si>
    <t>&lt;0</t>
  </si>
  <si>
    <t>Long Liquidation</t>
  </si>
  <si>
    <t>&gt;0</t>
  </si>
  <si>
    <t>Short Buildup</t>
  </si>
  <si>
    <t>Long Buildup</t>
  </si>
  <si>
    <t>Short Covering</t>
  </si>
  <si>
    <t>Price Change</t>
  </si>
  <si>
    <t>TREND</t>
  </si>
  <si>
    <t>Options Open Interest Analysis Simplified</t>
  </si>
  <si>
    <t>Graph</t>
  </si>
  <si>
    <t xml:space="preserve">View Options Contracts for: </t>
  </si>
  <si>
    <t xml:space="preserve">OR </t>
  </si>
  <si>
    <t>Filter by: Expiry Date</t>
  </si>
  <si>
    <t>Futures contracts</t>
  </si>
  <si>
    <t>Top</t>
  </si>
  <si>
    <t>highlighted Highlighted options are in-the-money.</t>
  </si>
  <si>
    <t>Note :</t>
  </si>
  <si>
    <t>10% interest rate is applied while computing implied volatility.</t>
  </si>
  <si>
    <t>Open Interest values in the option chain are refreshed at the end of the day after bhavcopy file has been made available on the website.</t>
  </si>
  <si>
    <t>BankNifty</t>
  </si>
  <si>
    <t>BULLISH</t>
  </si>
  <si>
    <t>Short covering</t>
  </si>
  <si>
    <t>DOWN</t>
  </si>
  <si>
    <t>UP</t>
  </si>
  <si>
    <t>Last Update @  15:30:30</t>
  </si>
  <si>
    <t>Data_2 (A17)</t>
  </si>
  <si>
    <t>Data_1 (A4)</t>
  </si>
  <si>
    <t>Data_3 (A30)</t>
  </si>
  <si>
    <t>Data_4 (A43)</t>
  </si>
  <si>
    <t>Data_5 (A56)</t>
  </si>
  <si>
    <t>Data_6 (A69)</t>
  </si>
  <si>
    <t>Data_7 (82)</t>
  </si>
  <si>
    <t>Data_8 (A95)</t>
  </si>
  <si>
    <t>Data_10 (A121)</t>
  </si>
  <si>
    <t>Data_9 (A108)</t>
  </si>
  <si>
    <t xml:space="preserve"> on Aug 09, </t>
  </si>
  <si>
    <t>BEARISH</t>
  </si>
  <si>
    <t xml:space="preserve"> on Sep 20, </t>
  </si>
  <si>
    <t>Last Update @  09:33:49</t>
  </si>
  <si>
    <t>Last Update @  10:07:20</t>
  </si>
  <si>
    <t>Last Update @  11:00:18</t>
  </si>
  <si>
    <t>Last Update @  11:24:04</t>
  </si>
  <si>
    <t>Last Update @  11:39:53</t>
  </si>
  <si>
    <t>Last Update @  13:01:25</t>
  </si>
  <si>
    <t>Last Update @  13:08:55</t>
  </si>
  <si>
    <t>Last Update @  13:46:27</t>
  </si>
  <si>
    <t xml:space="preserve">Underlying Index: BANKNIFTY 28981.55  As on Sep 20, 2019 15:30:30 IST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</si>
</sst>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u/>
      <sz val="11"/>
      <color rgb="FF00B0F0"/>
      <name val="Calibri"/>
      <family val="2"/>
    </font>
    <font>
      <b/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gradientFill>
        <stop position="0">
          <color theme="3" tint="0.59999389629810485"/>
        </stop>
        <stop position="0.5">
          <color theme="0"/>
        </stop>
        <stop position="1">
          <color theme="3" tint="0.59999389629810485"/>
        </stop>
      </gradientFill>
    </fill>
    <fill>
      <patternFill patternType="solid">
        <fgColor theme="3" tint="0.39997558519241921"/>
        <bgColor indexed="64"/>
      </patternFill>
    </fill>
    <fill>
      <gradientFill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gradientFill degree="90">
        <stop position="0">
          <color theme="3" tint="0.40000610370189521"/>
        </stop>
        <stop position="0.5">
          <color theme="3" tint="0.59999389629810485"/>
        </stop>
        <stop position="1">
          <color theme="3" tint="0.40000610370189521"/>
        </stop>
      </gradient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</fills>
  <borders count="21">
    <border>
      <left/>
      <right/>
      <top/>
      <bottom/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rgb="FF002060"/>
      </top>
      <bottom style="thin">
        <color rgb="FF00206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</borders>
  <cellStyleXfs count="4">
    <xf numFmtId="0" fontId="0" fillId="0" borderId="0"/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71">
    <xf numFmtId="0" fontId="0" fillId="0" borderId="0" xfId="0"/>
    <xf numFmtId="3" fontId="0" fillId="0" borderId="0" xfId="0" applyNumberFormat="1"/>
    <xf numFmtId="0" fontId="0" fillId="2" borderId="0" xfId="0" applyFill="1"/>
    <xf numFmtId="0" fontId="3" fillId="2" borderId="0" xfId="0" applyFont="1" applyFill="1"/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top"/>
    </xf>
    <xf numFmtId="0" fontId="0" fillId="3" borderId="3" xfId="0" applyFill="1" applyBorder="1" applyAlignment="1">
      <alignment horizontal="left" vertical="center"/>
    </xf>
    <xf numFmtId="0" fontId="0" fillId="5" borderId="0" xfId="0" applyFill="1"/>
    <xf numFmtId="0" fontId="0" fillId="2" borderId="0" xfId="0" applyFill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 wrapText="1"/>
    </xf>
    <xf numFmtId="0" fontId="2" fillId="7" borderId="5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 wrapText="1"/>
    </xf>
    <xf numFmtId="0" fontId="2" fillId="7" borderId="4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/>
    <xf numFmtId="0" fontId="2" fillId="0" borderId="6" xfId="0" applyFont="1" applyFill="1" applyBorder="1"/>
    <xf numFmtId="0" fontId="2" fillId="4" borderId="6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0" fillId="8" borderId="0" xfId="0" applyFill="1"/>
    <xf numFmtId="2" fontId="0" fillId="0" borderId="0" xfId="0" applyNumberFormat="1"/>
    <xf numFmtId="0" fontId="0" fillId="0" borderId="6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left" vertical="top"/>
    </xf>
    <xf numFmtId="0" fontId="7" fillId="2" borderId="0" xfId="3" applyFont="1" applyFill="1" applyAlignment="1" applyProtection="1">
      <alignment horizontal="left" vertical="center"/>
    </xf>
    <xf numFmtId="0" fontId="2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center" vertical="center"/>
    </xf>
    <xf numFmtId="0" fontId="0" fillId="9" borderId="0" xfId="0" applyFill="1"/>
    <xf numFmtId="2" fontId="8" fillId="2" borderId="0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22" fontId="8" fillId="2" borderId="0" xfId="0" applyNumberFormat="1" applyFont="1" applyFill="1" applyAlignment="1">
      <alignment horizontal="center" vertical="center"/>
    </xf>
    <xf numFmtId="164" fontId="8" fillId="2" borderId="0" xfId="0" applyNumberFormat="1" applyFont="1" applyFill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0" fillId="0" borderId="0" xfId="0" applyFill="1"/>
    <xf numFmtId="0" fontId="2" fillId="0" borderId="13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0" fillId="0" borderId="0" xfId="0" applyFill="1" applyAlignment="1"/>
    <xf numFmtId="0" fontId="11" fillId="4" borderId="6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/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5" xfId="0" applyFont="1" applyFill="1" applyBorder="1"/>
    <xf numFmtId="0" fontId="0" fillId="0" borderId="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0" xfId="0" applyBorder="1"/>
    <xf numFmtId="0" fontId="2" fillId="0" borderId="19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3" xfId="0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/>
    </xf>
    <xf numFmtId="0" fontId="9" fillId="10" borderId="12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3" fontId="2" fillId="6" borderId="11" xfId="0" applyNumberFormat="1" applyFont="1" applyFill="1" applyBorder="1" applyAlignment="1">
      <alignment horizontal="center"/>
    </xf>
    <xf numFmtId="3" fontId="2" fillId="6" borderId="0" xfId="0" applyNumberFormat="1" applyFont="1" applyFill="1" applyBorder="1" applyAlignment="1">
      <alignment horizontal="center"/>
    </xf>
  </cellXfs>
  <cellStyles count="4">
    <cellStyle name="%" xfId="1" xr:uid="{00000000-0005-0000-0000-000000000000}"/>
    <cellStyle name="Hyperlink" xfId="3" builtinId="8"/>
    <cellStyle name="Normal" xfId="0" builtinId="0"/>
    <cellStyle name="Normal 2" xfId="2" xr:uid="{00000000-0005-0000-0000-000003000000}"/>
  </cellStyles>
  <dxfs count="223"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rgb="FF00B0F0"/>
          </stop>
          <stop position="0.5">
            <color theme="4" tint="0.40000610370189521"/>
          </stop>
          <stop position="1">
            <color rgb="FF00B0F0"/>
          </stop>
        </gradientFill>
      </fill>
    </dxf>
    <dxf>
      <fill>
        <gradientFill degree="45">
          <stop position="0">
            <color theme="2" tint="-0.49803155613879818"/>
          </stop>
          <stop position="0.5">
            <color theme="2" tint="-0.25098422193060094"/>
          </stop>
          <stop position="1">
            <color theme="2" tint="-0.49803155613879818"/>
          </stop>
        </gradientFill>
      </fill>
    </dxf>
    <dxf>
      <fill>
        <gradientFill degree="45">
          <stop position="0">
            <color rgb="FF00B0F0"/>
          </stop>
          <stop position="0.5">
            <color theme="4" tint="0.80001220740379042"/>
          </stop>
          <stop position="1">
            <color rgb="FF00B0F0"/>
          </stop>
        </gradient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theme="0"/>
          </stop>
          <stop position="0.5">
            <color rgb="FF00B05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3300"/>
          </stop>
          <stop position="1">
            <color theme="0"/>
          </stop>
        </gradientFill>
      </fill>
    </dxf>
    <dxf>
      <fill>
        <gradientFill degree="90">
          <stop position="0">
            <color theme="6" tint="-0.25098422193060094"/>
          </stop>
          <stop position="0.5">
            <color theme="0"/>
          </stop>
          <stop position="1">
            <color theme="6" tint="-0.25098422193060094"/>
          </stop>
        </gradientFill>
      </fill>
    </dxf>
    <dxf>
      <fill>
        <gradientFill degree="90">
          <stop position="0">
            <color theme="9" tint="0.40000610370189521"/>
          </stop>
          <stop position="0.5">
            <color theme="0"/>
          </stop>
          <stop position="1">
            <color theme="9" tint="0.40000610370189521"/>
          </stop>
        </gradientFill>
      </fill>
    </dxf>
    <dxf>
      <fill>
        <gradientFill degree="90">
          <stop position="0">
            <color theme="7" tint="0.40000610370189521"/>
          </stop>
          <stop position="0.5">
            <color theme="0"/>
          </stop>
          <stop position="1">
            <color theme="7" tint="0.40000610370189521"/>
          </stop>
        </gradientFill>
      </fill>
    </dxf>
    <dxf>
      <fill>
        <gradientFill degree="90">
          <stop position="0">
            <color rgb="FFFF0000"/>
          </stop>
          <stop position="0.5">
            <color theme="0"/>
          </stop>
          <stop position="1">
            <color rgb="FFFF0000"/>
          </stop>
        </gradientFill>
      </fill>
    </dxf>
  </dxfs>
  <tableStyles count="0" defaultTableStyle="TableStyleMedium9" defaultPivotStyle="PivotStyleLight16"/>
  <colors>
    <mruColors>
      <color rgb="FFFF66FF"/>
      <color rgb="FF9ED02E"/>
      <color rgb="FFB2F608"/>
      <color rgb="FF89E816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'MAIN OI'!$G$6</c:f>
              <c:strCache>
                <c:ptCount val="1"/>
                <c:pt idx="0">
                  <c:v>Call Volume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OI'!$G$7:$G$22</c:f>
              <c:numCache>
                <c:formatCode>General</c:formatCode>
                <c:ptCount val="16"/>
                <c:pt idx="0">
                  <c:v>112168</c:v>
                </c:pt>
                <c:pt idx="1">
                  <c:v>100706</c:v>
                </c:pt>
                <c:pt idx="2">
                  <c:v>95288</c:v>
                </c:pt>
                <c:pt idx="3">
                  <c:v>408442</c:v>
                </c:pt>
                <c:pt idx="4">
                  <c:v>109737</c:v>
                </c:pt>
                <c:pt idx="5">
                  <c:v>111493</c:v>
                </c:pt>
                <c:pt idx="6">
                  <c:v>144655</c:v>
                </c:pt>
                <c:pt idx="7">
                  <c:v>137048</c:v>
                </c:pt>
                <c:pt idx="8">
                  <c:v>652066</c:v>
                </c:pt>
                <c:pt idx="9">
                  <c:v>128960</c:v>
                </c:pt>
                <c:pt idx="10">
                  <c:v>169758</c:v>
                </c:pt>
                <c:pt idx="11">
                  <c:v>119173</c:v>
                </c:pt>
                <c:pt idx="12">
                  <c:v>139228</c:v>
                </c:pt>
                <c:pt idx="13">
                  <c:v>595199</c:v>
                </c:pt>
                <c:pt idx="14">
                  <c:v>135413</c:v>
                </c:pt>
                <c:pt idx="15">
                  <c:v>44961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FE-4228-8E56-DB6DC4E5B22C}"/>
            </c:ext>
          </c:extLst>
        </c:ser>
        <c:ser>
          <c:idx val="1"/>
          <c:order val="1"/>
          <c:tx>
            <c:strRef>
              <c:f>'MAIN OI'!$Q$6</c:f>
              <c:strCache>
                <c:ptCount val="1"/>
                <c:pt idx="0">
                  <c:v>Put Volume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OI'!$Q$7:$Q$22</c:f>
              <c:numCache>
                <c:formatCode>General</c:formatCode>
                <c:ptCount val="16"/>
                <c:pt idx="0">
                  <c:v>91554</c:v>
                </c:pt>
                <c:pt idx="1">
                  <c:v>79884</c:v>
                </c:pt>
                <c:pt idx="2">
                  <c:v>74396</c:v>
                </c:pt>
                <c:pt idx="3">
                  <c:v>308735</c:v>
                </c:pt>
                <c:pt idx="4">
                  <c:v>74793</c:v>
                </c:pt>
                <c:pt idx="5">
                  <c:v>54219</c:v>
                </c:pt>
                <c:pt idx="6">
                  <c:v>57707</c:v>
                </c:pt>
                <c:pt idx="7">
                  <c:v>43460</c:v>
                </c:pt>
                <c:pt idx="8">
                  <c:v>128661</c:v>
                </c:pt>
                <c:pt idx="9">
                  <c:v>18713</c:v>
                </c:pt>
                <c:pt idx="10">
                  <c:v>13927</c:v>
                </c:pt>
                <c:pt idx="11">
                  <c:v>6670</c:v>
                </c:pt>
                <c:pt idx="12">
                  <c:v>3109</c:v>
                </c:pt>
                <c:pt idx="13">
                  <c:v>18623</c:v>
                </c:pt>
                <c:pt idx="14">
                  <c:v>182</c:v>
                </c:pt>
                <c:pt idx="15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FE-4228-8E56-DB6DC4E5B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6755584"/>
        <c:axId val="582128976"/>
      </c:barChart>
      <c:catAx>
        <c:axId val="206755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28976"/>
        <c:crosses val="autoZero"/>
        <c:auto val="1"/>
        <c:lblAlgn val="ctr"/>
        <c:lblOffset val="100"/>
        <c:noMultiLvlLbl val="0"/>
      </c:catAx>
      <c:valAx>
        <c:axId val="5821289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06755584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111127514047214"/>
          <c:y val="4.5626878075972745E-2"/>
          <c:w val="0.7042603825446806"/>
          <c:h val="0.836612497282025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'MAIN OI'!$H$6</c:f>
              <c:strCache>
                <c:ptCount val="1"/>
                <c:pt idx="0">
                  <c:v>Call Net OI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OI'!$H$7:$H$22</c:f>
              <c:numCache>
                <c:formatCode>General</c:formatCode>
                <c:ptCount val="16"/>
                <c:pt idx="0">
                  <c:v>34400</c:v>
                </c:pt>
                <c:pt idx="1">
                  <c:v>33140</c:v>
                </c:pt>
                <c:pt idx="2">
                  <c:v>50420</c:v>
                </c:pt>
                <c:pt idx="3">
                  <c:v>374900</c:v>
                </c:pt>
                <c:pt idx="4">
                  <c:v>28020</c:v>
                </c:pt>
                <c:pt idx="5">
                  <c:v>36240</c:v>
                </c:pt>
                <c:pt idx="6">
                  <c:v>70460</c:v>
                </c:pt>
                <c:pt idx="7">
                  <c:v>59240</c:v>
                </c:pt>
                <c:pt idx="8">
                  <c:v>377780</c:v>
                </c:pt>
                <c:pt idx="9">
                  <c:v>48660</c:v>
                </c:pt>
                <c:pt idx="10">
                  <c:v>71440</c:v>
                </c:pt>
                <c:pt idx="11">
                  <c:v>95600</c:v>
                </c:pt>
                <c:pt idx="12">
                  <c:v>80060</c:v>
                </c:pt>
                <c:pt idx="13">
                  <c:v>436300</c:v>
                </c:pt>
                <c:pt idx="14">
                  <c:v>64940</c:v>
                </c:pt>
                <c:pt idx="15">
                  <c:v>46920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E-49DD-95EC-D44362F4DA52}"/>
            </c:ext>
          </c:extLst>
        </c:ser>
        <c:ser>
          <c:idx val="1"/>
          <c:order val="1"/>
          <c:tx>
            <c:strRef>
              <c:f>'MAIN OI'!$P$6</c:f>
              <c:strCache>
                <c:ptCount val="1"/>
                <c:pt idx="0">
                  <c:v>Put Net OI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OI'!$P$7:$P$22</c:f>
              <c:numCache>
                <c:formatCode>General</c:formatCode>
                <c:ptCount val="16"/>
                <c:pt idx="0">
                  <c:v>127640</c:v>
                </c:pt>
                <c:pt idx="1">
                  <c:v>86360</c:v>
                </c:pt>
                <c:pt idx="2">
                  <c:v>70640</c:v>
                </c:pt>
                <c:pt idx="3">
                  <c:v>507080</c:v>
                </c:pt>
                <c:pt idx="4">
                  <c:v>59600</c:v>
                </c:pt>
                <c:pt idx="5">
                  <c:v>52400</c:v>
                </c:pt>
                <c:pt idx="6">
                  <c:v>61100</c:v>
                </c:pt>
                <c:pt idx="7">
                  <c:v>50360</c:v>
                </c:pt>
                <c:pt idx="8">
                  <c:v>286260</c:v>
                </c:pt>
                <c:pt idx="9">
                  <c:v>28440</c:v>
                </c:pt>
                <c:pt idx="10">
                  <c:v>23400</c:v>
                </c:pt>
                <c:pt idx="11">
                  <c:v>15920</c:v>
                </c:pt>
                <c:pt idx="12">
                  <c:v>9980</c:v>
                </c:pt>
                <c:pt idx="13">
                  <c:v>140820</c:v>
                </c:pt>
                <c:pt idx="14">
                  <c:v>1420</c:v>
                </c:pt>
                <c:pt idx="15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E-49DD-95EC-D44362F4D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128584"/>
        <c:axId val="582130544"/>
      </c:barChart>
      <c:catAx>
        <c:axId val="582128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30544"/>
        <c:crosses val="autoZero"/>
        <c:auto val="1"/>
        <c:lblAlgn val="ctr"/>
        <c:lblOffset val="100"/>
        <c:noMultiLvlLbl val="0"/>
      </c:catAx>
      <c:valAx>
        <c:axId val="582130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28584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  <a:ln>
      <a:solidFill>
        <a:schemeClr val="tx1">
          <a:lumMod val="95000"/>
          <a:lumOff val="5000"/>
        </a:schemeClr>
      </a:solidFill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'MAIN OI'!$I$6</c:f>
              <c:strCache>
                <c:ptCount val="1"/>
                <c:pt idx="0">
                  <c:v>Call change in OI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OI'!$I$7:$I$22</c:f>
              <c:numCache>
                <c:formatCode>General</c:formatCode>
                <c:ptCount val="16"/>
                <c:pt idx="0">
                  <c:v>-37760</c:v>
                </c:pt>
                <c:pt idx="1">
                  <c:v>-32740</c:v>
                </c:pt>
                <c:pt idx="2">
                  <c:v>14580</c:v>
                </c:pt>
                <c:pt idx="3">
                  <c:v>-55680</c:v>
                </c:pt>
                <c:pt idx="4">
                  <c:v>-4960</c:v>
                </c:pt>
                <c:pt idx="5">
                  <c:v>3820</c:v>
                </c:pt>
                <c:pt idx="6">
                  <c:v>40480</c:v>
                </c:pt>
                <c:pt idx="7">
                  <c:v>51100</c:v>
                </c:pt>
                <c:pt idx="8">
                  <c:v>54900</c:v>
                </c:pt>
                <c:pt idx="9">
                  <c:v>42520</c:v>
                </c:pt>
                <c:pt idx="10">
                  <c:v>53820</c:v>
                </c:pt>
                <c:pt idx="11">
                  <c:v>94540</c:v>
                </c:pt>
                <c:pt idx="12">
                  <c:v>77040</c:v>
                </c:pt>
                <c:pt idx="13">
                  <c:v>254280</c:v>
                </c:pt>
                <c:pt idx="14">
                  <c:v>64360</c:v>
                </c:pt>
                <c:pt idx="15">
                  <c:v>46920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9-44B1-B429-B4E77F0118E7}"/>
            </c:ext>
          </c:extLst>
        </c:ser>
        <c:ser>
          <c:idx val="1"/>
          <c:order val="1"/>
          <c:tx>
            <c:strRef>
              <c:f>'MAIN OI'!$O$6</c:f>
              <c:strCache>
                <c:ptCount val="1"/>
                <c:pt idx="0">
                  <c:v>Put Change in OI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OI'!$O$7:$O$22</c:f>
              <c:numCache>
                <c:formatCode>General</c:formatCode>
                <c:ptCount val="16"/>
                <c:pt idx="0">
                  <c:v>123720</c:v>
                </c:pt>
                <c:pt idx="1">
                  <c:v>84260</c:v>
                </c:pt>
                <c:pt idx="2">
                  <c:v>70400</c:v>
                </c:pt>
                <c:pt idx="3">
                  <c:v>489580</c:v>
                </c:pt>
                <c:pt idx="4">
                  <c:v>58960</c:v>
                </c:pt>
                <c:pt idx="5">
                  <c:v>52060</c:v>
                </c:pt>
                <c:pt idx="6">
                  <c:v>60720</c:v>
                </c:pt>
                <c:pt idx="7">
                  <c:v>50220</c:v>
                </c:pt>
                <c:pt idx="8">
                  <c:v>182820</c:v>
                </c:pt>
                <c:pt idx="9">
                  <c:v>28400</c:v>
                </c:pt>
                <c:pt idx="10">
                  <c:v>22020</c:v>
                </c:pt>
                <c:pt idx="11">
                  <c:v>15920</c:v>
                </c:pt>
                <c:pt idx="12">
                  <c:v>9940</c:v>
                </c:pt>
                <c:pt idx="13">
                  <c:v>-103380</c:v>
                </c:pt>
                <c:pt idx="14">
                  <c:v>1420</c:v>
                </c:pt>
                <c:pt idx="15">
                  <c:v>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F9-44B1-B429-B4E77F011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134072"/>
        <c:axId val="582133680"/>
      </c:barChart>
      <c:catAx>
        <c:axId val="582134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33680"/>
        <c:crosses val="autoZero"/>
        <c:auto val="1"/>
        <c:lblAlgn val="ctr"/>
        <c:lblOffset val="100"/>
        <c:noMultiLvlLbl val="0"/>
      </c:catAx>
      <c:valAx>
        <c:axId val="58213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34072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'MAIN OI'!$J$6</c:f>
              <c:strCache>
                <c:ptCount val="1"/>
                <c:pt idx="0">
                  <c:v>Call Price change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OI'!$J$7:$J$22</c:f>
              <c:numCache>
                <c:formatCode>General</c:formatCode>
                <c:ptCount val="16"/>
                <c:pt idx="0">
                  <c:v>850.2</c:v>
                </c:pt>
                <c:pt idx="1">
                  <c:v>779.15</c:v>
                </c:pt>
                <c:pt idx="2">
                  <c:v>719.3</c:v>
                </c:pt>
                <c:pt idx="3">
                  <c:v>642.20000000000005</c:v>
                </c:pt>
                <c:pt idx="4">
                  <c:v>565.75</c:v>
                </c:pt>
                <c:pt idx="5">
                  <c:v>503.85</c:v>
                </c:pt>
                <c:pt idx="6">
                  <c:v>423.35</c:v>
                </c:pt>
                <c:pt idx="7">
                  <c:v>395.6</c:v>
                </c:pt>
                <c:pt idx="8">
                  <c:v>345.75</c:v>
                </c:pt>
                <c:pt idx="9">
                  <c:v>302.45</c:v>
                </c:pt>
                <c:pt idx="10">
                  <c:v>264.7</c:v>
                </c:pt>
                <c:pt idx="11">
                  <c:v>237.3</c:v>
                </c:pt>
                <c:pt idx="12">
                  <c:v>239.7</c:v>
                </c:pt>
                <c:pt idx="13">
                  <c:v>179.7</c:v>
                </c:pt>
                <c:pt idx="14">
                  <c:v>156.35</c:v>
                </c:pt>
                <c:pt idx="15">
                  <c:v>-2371.5500000000002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03-41A1-94DD-B2F2CA602076}"/>
            </c:ext>
          </c:extLst>
        </c:ser>
        <c:ser>
          <c:idx val="1"/>
          <c:order val="1"/>
          <c:tx>
            <c:strRef>
              <c:f>'MAIN OI'!$N$6</c:f>
              <c:strCache>
                <c:ptCount val="1"/>
                <c:pt idx="0">
                  <c:v>Put Price Change</c:v>
                </c:pt>
              </c:strCache>
            </c:strRef>
          </c:tx>
          <c:invertIfNegative val="0"/>
          <c:cat>
            <c:numRef>
              <c:f>'MAIN OI'!$L$7:$L$22</c:f>
              <c:numCache>
                <c:formatCode>General</c:formatCode>
                <c:ptCount val="16"/>
                <c:pt idx="0">
                  <c:v>28200</c:v>
                </c:pt>
                <c:pt idx="1">
                  <c:v>28300</c:v>
                </c:pt>
                <c:pt idx="2">
                  <c:v>28400</c:v>
                </c:pt>
                <c:pt idx="3">
                  <c:v>28500</c:v>
                </c:pt>
                <c:pt idx="4">
                  <c:v>28600</c:v>
                </c:pt>
                <c:pt idx="5">
                  <c:v>28700</c:v>
                </c:pt>
                <c:pt idx="6">
                  <c:v>28800</c:v>
                </c:pt>
                <c:pt idx="7">
                  <c:v>28900</c:v>
                </c:pt>
                <c:pt idx="8">
                  <c:v>29000</c:v>
                </c:pt>
                <c:pt idx="9">
                  <c:v>29100</c:v>
                </c:pt>
                <c:pt idx="10">
                  <c:v>29200</c:v>
                </c:pt>
                <c:pt idx="11">
                  <c:v>29300</c:v>
                </c:pt>
                <c:pt idx="12">
                  <c:v>29400</c:v>
                </c:pt>
                <c:pt idx="13">
                  <c:v>29500</c:v>
                </c:pt>
                <c:pt idx="14">
                  <c:v>29600</c:v>
                </c:pt>
                <c:pt idx="15">
                  <c:v>29700</c:v>
                </c:pt>
              </c:numCache>
            </c:numRef>
          </c:cat>
          <c:val>
            <c:numRef>
              <c:f>'MAIN OI'!$N$7:$N$22</c:f>
              <c:numCache>
                <c:formatCode>General</c:formatCode>
                <c:ptCount val="16"/>
                <c:pt idx="0">
                  <c:v>-1337.45</c:v>
                </c:pt>
                <c:pt idx="1">
                  <c:v>-1352.95</c:v>
                </c:pt>
                <c:pt idx="2">
                  <c:v>-1565.5</c:v>
                </c:pt>
                <c:pt idx="3">
                  <c:v>-1574.9</c:v>
                </c:pt>
                <c:pt idx="4">
                  <c:v>-1620</c:v>
                </c:pt>
                <c:pt idx="5">
                  <c:v>-635</c:v>
                </c:pt>
                <c:pt idx="6">
                  <c:v>-1229.95</c:v>
                </c:pt>
                <c:pt idx="7">
                  <c:v>-1763.15</c:v>
                </c:pt>
                <c:pt idx="8">
                  <c:v>-1849.7</c:v>
                </c:pt>
                <c:pt idx="9">
                  <c:v>-787.6</c:v>
                </c:pt>
                <c:pt idx="10">
                  <c:v>-1969.1</c:v>
                </c:pt>
                <c:pt idx="11">
                  <c:v>18.399999999999999</c:v>
                </c:pt>
                <c:pt idx="12">
                  <c:v>-1036.05</c:v>
                </c:pt>
                <c:pt idx="13">
                  <c:v>-2056.4499999999998</c:v>
                </c:pt>
                <c:pt idx="14">
                  <c:v>363.6</c:v>
                </c:pt>
                <c:pt idx="15">
                  <c:v>399.3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03-41A1-94DD-B2F2CA602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133288"/>
        <c:axId val="582130152"/>
      </c:barChart>
      <c:catAx>
        <c:axId val="582133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30152"/>
        <c:crosses val="autoZero"/>
        <c:auto val="1"/>
        <c:lblAlgn val="ctr"/>
        <c:lblOffset val="100"/>
        <c:noMultiLvlLbl val="0"/>
      </c:catAx>
      <c:valAx>
        <c:axId val="582130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582133288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printSettings>
    <c:headerFooter/>
    <c:pageMargins b="0.75000000000000822" l="0.70000000000000062" r="0.70000000000000062" t="0.75000000000000822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486832</xdr:colOff>
      <xdr:row>23</xdr:row>
      <xdr:rowOff>155576</xdr:rowOff>
    </xdr:from>
    <xdr:to>
      <xdr:col>18</xdr:col>
      <xdr:colOff>1047749</xdr:colOff>
      <xdr:row>42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380999</xdr:colOff>
      <xdr:row>23</xdr:row>
      <xdr:rowOff>152400</xdr:rowOff>
    </xdr:from>
    <xdr:to>
      <xdr:col>11</xdr:col>
      <xdr:colOff>158750</xdr:colOff>
      <xdr:row>42</xdr:row>
      <xdr:rowOff>179917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437090</xdr:colOff>
      <xdr:row>45</xdr:row>
      <xdr:rowOff>105832</xdr:rowOff>
    </xdr:from>
    <xdr:to>
      <xdr:col>11</xdr:col>
      <xdr:colOff>190499</xdr:colOff>
      <xdr:row>64</xdr:row>
      <xdr:rowOff>10583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497416</xdr:colOff>
      <xdr:row>45</xdr:row>
      <xdr:rowOff>116417</xdr:rowOff>
    </xdr:from>
    <xdr:to>
      <xdr:col>18</xdr:col>
      <xdr:colOff>1016000</xdr:colOff>
      <xdr:row>64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38100</xdr:rowOff>
        </xdr:from>
        <xdr:to>
          <xdr:col>1</xdr:col>
          <xdr:colOff>487680</xdr:colOff>
          <xdr:row>2</xdr:row>
          <xdr:rowOff>7620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1</xdr:row>
          <xdr:rowOff>121920</xdr:rowOff>
        </xdr:from>
        <xdr:to>
          <xdr:col>1</xdr:col>
          <xdr:colOff>1021080</xdr:colOff>
          <xdr:row>3</xdr:row>
          <xdr:rowOff>7620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14</xdr:row>
          <xdr:rowOff>99060</xdr:rowOff>
        </xdr:from>
        <xdr:to>
          <xdr:col>1</xdr:col>
          <xdr:colOff>457200</xdr:colOff>
          <xdr:row>15</xdr:row>
          <xdr:rowOff>175260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27</xdr:row>
          <xdr:rowOff>99060</xdr:rowOff>
        </xdr:from>
        <xdr:to>
          <xdr:col>1</xdr:col>
          <xdr:colOff>457200</xdr:colOff>
          <xdr:row>28</xdr:row>
          <xdr:rowOff>175260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2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40</xdr:row>
          <xdr:rowOff>99060</xdr:rowOff>
        </xdr:from>
        <xdr:to>
          <xdr:col>1</xdr:col>
          <xdr:colOff>457200</xdr:colOff>
          <xdr:row>41</xdr:row>
          <xdr:rowOff>175260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2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53</xdr:row>
          <xdr:rowOff>99060</xdr:rowOff>
        </xdr:from>
        <xdr:to>
          <xdr:col>1</xdr:col>
          <xdr:colOff>457200</xdr:colOff>
          <xdr:row>54</xdr:row>
          <xdr:rowOff>175260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2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66</xdr:row>
          <xdr:rowOff>99060</xdr:rowOff>
        </xdr:from>
        <xdr:to>
          <xdr:col>1</xdr:col>
          <xdr:colOff>457200</xdr:colOff>
          <xdr:row>67</xdr:row>
          <xdr:rowOff>175260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2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79</xdr:row>
          <xdr:rowOff>99060</xdr:rowOff>
        </xdr:from>
        <xdr:to>
          <xdr:col>1</xdr:col>
          <xdr:colOff>457200</xdr:colOff>
          <xdr:row>80</xdr:row>
          <xdr:rowOff>175260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2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92</xdr:row>
          <xdr:rowOff>99060</xdr:rowOff>
        </xdr:from>
        <xdr:to>
          <xdr:col>1</xdr:col>
          <xdr:colOff>457200</xdr:colOff>
          <xdr:row>93</xdr:row>
          <xdr:rowOff>175260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2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118</xdr:row>
          <xdr:rowOff>99060</xdr:rowOff>
        </xdr:from>
        <xdr:to>
          <xdr:col>1</xdr:col>
          <xdr:colOff>457200</xdr:colOff>
          <xdr:row>119</xdr:row>
          <xdr:rowOff>175260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2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105</xdr:row>
          <xdr:rowOff>99060</xdr:rowOff>
        </xdr:from>
        <xdr:to>
          <xdr:col>1</xdr:col>
          <xdr:colOff>457200</xdr:colOff>
          <xdr:row>106</xdr:row>
          <xdr:rowOff>175260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2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</a:t>
              </a:r>
            </a:p>
            <a:p>
              <a:pPr algn="ctr" rtl="0">
                <a:defRPr sz="1000"/>
              </a:pPr>
              <a:endParaRPr lang="en-US" sz="1400" b="1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optionKeys.jsp?symbolCode=-10006&amp;symbol=NIFTY&amp;symbol=NIFTY&amp;instrument=-&amp;date=-&amp;segmentLink=17&amp;symbolCount=2&amp;segmentLink=17" refreshOnLoad="1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N137"/>
  <sheetViews>
    <sheetView workbookViewId="0">
      <selection activeCell="D2" sqref="D2"/>
    </sheetView>
  </sheetViews>
  <sheetFormatPr defaultRowHeight="14.4" x14ac:dyDescent="0.3"/>
  <cols>
    <col min="1" max="1" width="12.5546875" customWidth="1"/>
    <col min="2" max="2" width="19" customWidth="1"/>
    <col min="3" max="3" width="28" bestFit="1" customWidth="1"/>
    <col min="4" max="4" width="61.109375" bestFit="1" customWidth="1"/>
    <col min="5" max="5" width="9.21875" bestFit="1" customWidth="1"/>
    <col min="6" max="6" width="8.88671875" bestFit="1" customWidth="1"/>
    <col min="7" max="7" width="3" bestFit="1" customWidth="1"/>
    <col min="8" max="8" width="5.44140625" bestFit="1" customWidth="1"/>
    <col min="9" max="9" width="8.44140625" bestFit="1" customWidth="1"/>
    <col min="10" max="10" width="6.44140625" bestFit="1" customWidth="1"/>
    <col min="11" max="13" width="5.44140625" bestFit="1" customWidth="1"/>
    <col min="14" max="14" width="10" bestFit="1" customWidth="1"/>
    <col min="15" max="18" width="5.44140625" bestFit="1" customWidth="1"/>
    <col min="19" max="19" width="8.44140625" bestFit="1" customWidth="1"/>
    <col min="20" max="20" width="5.44140625" bestFit="1" customWidth="1"/>
    <col min="21" max="21" width="4" bestFit="1" customWidth="1"/>
    <col min="22" max="22" width="8.88671875" bestFit="1" customWidth="1"/>
    <col min="23" max="23" width="9.21875" bestFit="1" customWidth="1"/>
    <col min="24" max="24" width="8.88671875" bestFit="1" customWidth="1"/>
    <col min="25" max="25" width="5.88671875" bestFit="1" customWidth="1"/>
    <col min="26" max="26" width="10" customWidth="1"/>
    <col min="27" max="27" width="10.44140625" style="24" bestFit="1" customWidth="1"/>
    <col min="28" max="28" width="10.109375" customWidth="1"/>
    <col min="29" max="29" width="5.5546875" customWidth="1"/>
    <col min="30" max="30" width="9.109375" customWidth="1"/>
    <col min="31" max="31" width="6.5546875" customWidth="1"/>
    <col min="32" max="33" width="5.5546875" customWidth="1"/>
    <col min="34" max="34" width="6.5546875" customWidth="1"/>
    <col min="35" max="35" width="11" customWidth="1"/>
    <col min="36" max="36" width="6.5546875" customWidth="1"/>
    <col min="37" max="39" width="5.5546875" customWidth="1"/>
    <col min="40" max="40" width="9.109375" customWidth="1"/>
    <col min="41" max="41" width="5.5546875" customWidth="1"/>
    <col min="42" max="42" width="3" customWidth="1"/>
    <col min="43" max="43" width="8" customWidth="1"/>
    <col min="44" max="44" width="10" customWidth="1"/>
    <col min="45" max="45" width="10.109375" customWidth="1"/>
    <col min="46" max="46" width="5.6640625" customWidth="1"/>
    <col min="47" max="47" width="10" customWidth="1"/>
    <col min="48" max="48" width="8" customWidth="1"/>
    <col min="49" max="49" width="6" customWidth="1"/>
    <col min="50" max="50" width="8.109375" customWidth="1"/>
    <col min="52" max="52" width="6.5546875" customWidth="1"/>
    <col min="53" max="54" width="8.109375" customWidth="1"/>
    <col min="55" max="55" width="6.5546875" customWidth="1"/>
    <col min="56" max="56" width="11" customWidth="1"/>
    <col min="57" max="57" width="7.5546875" customWidth="1"/>
    <col min="58" max="59" width="8.109375" customWidth="1"/>
    <col min="60" max="60" width="7.5546875" customWidth="1"/>
    <col min="62" max="62" width="8.109375" customWidth="1"/>
    <col min="63" max="63" width="6" customWidth="1"/>
    <col min="64" max="64" width="8" customWidth="1"/>
    <col min="65" max="65" width="10" customWidth="1"/>
    <col min="66" max="66" width="10.109375" customWidth="1"/>
    <col min="67" max="67" width="5.6640625" customWidth="1"/>
  </cols>
  <sheetData>
    <row r="1" spans="1:27" x14ac:dyDescent="0.3">
      <c r="A1" s="28" t="str">
        <f>MID(D1,41,12)</f>
        <v xml:space="preserve"> on Sep 20, </v>
      </c>
      <c r="B1" s="30"/>
      <c r="C1" t="s">
        <v>15</v>
      </c>
      <c r="D1" s="1" t="s">
        <v>82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7" x14ac:dyDescent="0.3">
      <c r="A2" s="28" t="str">
        <f>"Last Update @  "&amp;MID(D1,58,8)</f>
        <v>Last Update @  15:30:30</v>
      </c>
      <c r="B2" s="30"/>
      <c r="C2" t="s">
        <v>46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7" x14ac:dyDescent="0.3">
      <c r="A3" s="29" t="str">
        <f>MID(D1,18,10)</f>
        <v xml:space="preserve"> BANKNIFTY</v>
      </c>
      <c r="B3" s="30"/>
      <c r="C3" t="s">
        <v>47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7" x14ac:dyDescent="0.3">
      <c r="A4" s="29">
        <f>VALUE(MID(D1,29,8))</f>
        <v>28981.55</v>
      </c>
      <c r="B4" s="30"/>
      <c r="C4" t="s">
        <v>48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A4" s="24" t="s">
        <v>32</v>
      </c>
    </row>
    <row r="5" spans="1:27" x14ac:dyDescent="0.3">
      <c r="A5" s="29">
        <f>ROUND(A4,-2)</f>
        <v>29000</v>
      </c>
      <c r="B5" s="30"/>
      <c r="C5" t="s">
        <v>49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7" x14ac:dyDescent="0.3">
      <c r="A6" t="str">
        <f>"CE"&amp;N6</f>
        <v>CE</v>
      </c>
      <c r="B6" t="str">
        <f>"PE"&amp;N6</f>
        <v>PE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A6" s="24" t="e">
        <f>X6/D6</f>
        <v>#DIV/0!</v>
      </c>
    </row>
    <row r="7" spans="1:27" x14ac:dyDescent="0.3">
      <c r="A7" t="str">
        <f t="shared" ref="A7:A41" si="0">"CE"&amp;N7</f>
        <v>CE</v>
      </c>
      <c r="B7" t="str">
        <f t="shared" ref="B7:B41" si="1">"PE"&amp;N7</f>
        <v>PE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A7" s="24" t="e">
        <f t="shared" ref="AA7:AA63" si="2">X7/D7</f>
        <v>#DIV/0!</v>
      </c>
    </row>
    <row r="8" spans="1:27" x14ac:dyDescent="0.3">
      <c r="A8" t="str">
        <f t="shared" si="0"/>
        <v>CE</v>
      </c>
      <c r="B8" t="str">
        <f t="shared" si="1"/>
        <v>PE</v>
      </c>
      <c r="C8" t="s">
        <v>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 t="s">
        <v>1</v>
      </c>
      <c r="P8" s="1"/>
      <c r="Q8" s="1"/>
      <c r="R8" s="1"/>
      <c r="S8" s="1"/>
      <c r="T8" s="1"/>
      <c r="U8" s="1"/>
      <c r="V8" s="1"/>
      <c r="W8" s="1"/>
      <c r="X8" s="1"/>
      <c r="Y8" s="1"/>
      <c r="AA8" s="24" t="e">
        <f t="shared" si="2"/>
        <v>#DIV/0!</v>
      </c>
    </row>
    <row r="9" spans="1:27" x14ac:dyDescent="0.3">
      <c r="A9" t="str">
        <f t="shared" si="0"/>
        <v>CEStrike Price</v>
      </c>
      <c r="B9" t="str">
        <f t="shared" si="1"/>
        <v>PEStrike Price</v>
      </c>
      <c r="C9" t="s">
        <v>2</v>
      </c>
      <c r="D9" s="1" t="s">
        <v>3</v>
      </c>
      <c r="E9" s="1" t="s">
        <v>4</v>
      </c>
      <c r="F9" s="1" t="s">
        <v>5</v>
      </c>
      <c r="G9" s="1" t="s">
        <v>6</v>
      </c>
      <c r="H9" s="1" t="s">
        <v>7</v>
      </c>
      <c r="I9" s="1" t="s">
        <v>8</v>
      </c>
      <c r="J9" s="1" t="s">
        <v>9</v>
      </c>
      <c r="K9" s="1" t="s">
        <v>9</v>
      </c>
      <c r="L9" s="1" t="s">
        <v>12</v>
      </c>
      <c r="M9" s="1" t="s">
        <v>12</v>
      </c>
      <c r="N9" s="1" t="s">
        <v>13</v>
      </c>
      <c r="O9" s="1" t="s">
        <v>9</v>
      </c>
      <c r="P9" s="1" t="s">
        <v>9</v>
      </c>
      <c r="Q9" s="1" t="s">
        <v>12</v>
      </c>
      <c r="R9" s="1" t="s">
        <v>12</v>
      </c>
      <c r="S9" s="1" t="s">
        <v>8</v>
      </c>
      <c r="T9" s="1" t="s">
        <v>7</v>
      </c>
      <c r="U9" s="1" t="s">
        <v>6</v>
      </c>
      <c r="V9" s="1" t="s">
        <v>5</v>
      </c>
      <c r="W9" s="1" t="s">
        <v>4</v>
      </c>
      <c r="X9" s="1" t="s">
        <v>3</v>
      </c>
      <c r="Y9" s="1" t="s">
        <v>2</v>
      </c>
      <c r="AA9" s="24" t="e">
        <f t="shared" si="2"/>
        <v>#VALUE!</v>
      </c>
    </row>
    <row r="10" spans="1:27" x14ac:dyDescent="0.3">
      <c r="A10" t="str">
        <f t="shared" si="0"/>
        <v>CE</v>
      </c>
      <c r="B10" t="str">
        <f t="shared" si="1"/>
        <v>PE</v>
      </c>
      <c r="D10" s="1"/>
      <c r="E10" s="1"/>
      <c r="F10" s="1"/>
      <c r="G10" s="1"/>
      <c r="H10" s="1"/>
      <c r="I10" s="1"/>
      <c r="J10" s="1" t="s">
        <v>10</v>
      </c>
      <c r="K10" s="1" t="s">
        <v>11</v>
      </c>
      <c r="L10" s="1" t="s">
        <v>11</v>
      </c>
      <c r="M10" s="1" t="s">
        <v>10</v>
      </c>
      <c r="N10" s="1"/>
      <c r="O10" s="1" t="s">
        <v>10</v>
      </c>
      <c r="P10" s="1" t="s">
        <v>11</v>
      </c>
      <c r="Q10" s="1" t="s">
        <v>11</v>
      </c>
      <c r="R10" s="1" t="s">
        <v>10</v>
      </c>
      <c r="S10" s="1"/>
      <c r="T10" s="1"/>
      <c r="U10" s="1"/>
      <c r="V10" s="1"/>
      <c r="W10" s="1"/>
      <c r="X10" s="1"/>
      <c r="Y10" s="1"/>
      <c r="AA10" s="24" t="e">
        <f t="shared" si="2"/>
        <v>#DIV/0!</v>
      </c>
    </row>
    <row r="11" spans="1:27" x14ac:dyDescent="0.3">
      <c r="A11" t="str">
        <f t="shared" si="0"/>
        <v>CE25200</v>
      </c>
      <c r="B11" t="str">
        <f t="shared" si="1"/>
        <v>PE25200</v>
      </c>
      <c r="C11" t="s">
        <v>45</v>
      </c>
      <c r="D11" s="1">
        <v>3200</v>
      </c>
      <c r="E11" s="1">
        <v>2840</v>
      </c>
      <c r="F11" s="1">
        <v>303</v>
      </c>
      <c r="G11" s="1" t="s">
        <v>14</v>
      </c>
      <c r="H11" s="1">
        <v>3808.8</v>
      </c>
      <c r="I11" s="1">
        <v>2269.25</v>
      </c>
      <c r="J11" s="1">
        <v>700</v>
      </c>
      <c r="K11" s="1">
        <v>3808.8</v>
      </c>
      <c r="L11" s="1">
        <v>3907.2</v>
      </c>
      <c r="M11" s="1">
        <v>200</v>
      </c>
      <c r="N11" s="1">
        <v>25200</v>
      </c>
      <c r="O11" s="1">
        <v>3620</v>
      </c>
      <c r="P11" s="1">
        <v>2.25</v>
      </c>
      <c r="Q11" s="1">
        <v>3</v>
      </c>
      <c r="R11" s="1">
        <v>100</v>
      </c>
      <c r="S11" s="1">
        <v>-12.25</v>
      </c>
      <c r="T11" s="1">
        <v>2.4500000000000002</v>
      </c>
      <c r="U11" s="1">
        <v>42.4</v>
      </c>
      <c r="V11" s="1">
        <v>32661</v>
      </c>
      <c r="W11" s="1">
        <v>31280</v>
      </c>
      <c r="X11" s="1">
        <v>130260</v>
      </c>
      <c r="Y11" s="1" t="s">
        <v>45</v>
      </c>
      <c r="AA11" s="24">
        <f t="shared" si="2"/>
        <v>40.706249999999997</v>
      </c>
    </row>
    <row r="12" spans="1:27" x14ac:dyDescent="0.3">
      <c r="A12" t="str">
        <f t="shared" si="0"/>
        <v>CE25300</v>
      </c>
      <c r="B12" t="str">
        <f t="shared" si="1"/>
        <v>PE25300</v>
      </c>
      <c r="C12" t="s">
        <v>45</v>
      </c>
      <c r="D12" s="1">
        <v>20</v>
      </c>
      <c r="E12" s="1">
        <v>20</v>
      </c>
      <c r="F12" s="1">
        <v>1</v>
      </c>
      <c r="G12" s="1" t="s">
        <v>14</v>
      </c>
      <c r="H12" s="1">
        <v>3243.2</v>
      </c>
      <c r="I12" s="1">
        <v>1448.5</v>
      </c>
      <c r="J12" s="1">
        <v>2420</v>
      </c>
      <c r="K12" s="1">
        <v>3453.75</v>
      </c>
      <c r="L12" s="1" t="s">
        <v>14</v>
      </c>
      <c r="M12" s="1" t="s">
        <v>14</v>
      </c>
      <c r="N12" s="1">
        <v>25300</v>
      </c>
      <c r="O12" s="1">
        <v>20</v>
      </c>
      <c r="P12" s="1">
        <v>3.2</v>
      </c>
      <c r="Q12" s="1">
        <v>4.1500000000000004</v>
      </c>
      <c r="R12" s="1">
        <v>20</v>
      </c>
      <c r="S12" s="1">
        <v>-14.55</v>
      </c>
      <c r="T12" s="1">
        <v>3.35</v>
      </c>
      <c r="U12" s="1">
        <v>43.52</v>
      </c>
      <c r="V12" s="1">
        <v>9703</v>
      </c>
      <c r="W12" s="1">
        <v>-4400</v>
      </c>
      <c r="X12" s="1">
        <v>9980</v>
      </c>
      <c r="Y12" s="1" t="s">
        <v>45</v>
      </c>
      <c r="AA12" s="24">
        <f t="shared" si="2"/>
        <v>499</v>
      </c>
    </row>
    <row r="13" spans="1:27" x14ac:dyDescent="0.3">
      <c r="A13" t="str">
        <f t="shared" si="0"/>
        <v>CE25400</v>
      </c>
      <c r="B13" t="str">
        <f t="shared" si="1"/>
        <v>PE25400</v>
      </c>
      <c r="C13" t="s">
        <v>45</v>
      </c>
      <c r="D13" s="1">
        <v>380</v>
      </c>
      <c r="E13" s="1" t="s">
        <v>14</v>
      </c>
      <c r="F13" s="1">
        <v>3</v>
      </c>
      <c r="G13" s="1" t="s">
        <v>14</v>
      </c>
      <c r="H13" s="1">
        <v>1584.75</v>
      </c>
      <c r="I13" s="1">
        <v>74.45</v>
      </c>
      <c r="J13" s="1">
        <v>2420</v>
      </c>
      <c r="K13" s="1">
        <v>3137.5</v>
      </c>
      <c r="L13" s="1" t="s">
        <v>14</v>
      </c>
      <c r="M13" s="1" t="s">
        <v>14</v>
      </c>
      <c r="N13" s="1">
        <v>25400</v>
      </c>
      <c r="O13" s="1">
        <v>40</v>
      </c>
      <c r="P13" s="1">
        <v>3.5</v>
      </c>
      <c r="Q13" s="1">
        <v>3.55</v>
      </c>
      <c r="R13" s="1">
        <v>200</v>
      </c>
      <c r="S13" s="1">
        <v>-19.2</v>
      </c>
      <c r="T13" s="1">
        <v>3.5</v>
      </c>
      <c r="U13" s="1">
        <v>42.47</v>
      </c>
      <c r="V13" s="1">
        <v>16106</v>
      </c>
      <c r="W13" s="1">
        <v>-15200</v>
      </c>
      <c r="X13" s="1">
        <v>18780</v>
      </c>
      <c r="Y13" s="1" t="s">
        <v>45</v>
      </c>
      <c r="AA13" s="24">
        <f t="shared" si="2"/>
        <v>49.421052631578945</v>
      </c>
    </row>
    <row r="14" spans="1:27" x14ac:dyDescent="0.3">
      <c r="A14" t="str">
        <f t="shared" si="0"/>
        <v>CE25500</v>
      </c>
      <c r="B14" t="str">
        <f t="shared" si="1"/>
        <v>PE25500</v>
      </c>
      <c r="C14" t="s">
        <v>45</v>
      </c>
      <c r="D14" s="1">
        <v>5340</v>
      </c>
      <c r="E14" s="1">
        <v>-3000</v>
      </c>
      <c r="F14" s="1">
        <v>258</v>
      </c>
      <c r="G14" s="1" t="s">
        <v>14</v>
      </c>
      <c r="H14" s="1">
        <v>3490</v>
      </c>
      <c r="I14" s="1">
        <v>2184.75</v>
      </c>
      <c r="J14" s="1">
        <v>20</v>
      </c>
      <c r="K14" s="1">
        <v>3388.05</v>
      </c>
      <c r="L14" s="1">
        <v>3603.35</v>
      </c>
      <c r="M14" s="1">
        <v>20</v>
      </c>
      <c r="N14" s="1">
        <v>25500</v>
      </c>
      <c r="O14" s="1">
        <v>120</v>
      </c>
      <c r="P14" s="1">
        <v>4</v>
      </c>
      <c r="Q14" s="1">
        <v>4.25</v>
      </c>
      <c r="R14" s="1">
        <v>1880</v>
      </c>
      <c r="S14" s="1">
        <v>-23.75</v>
      </c>
      <c r="T14" s="1">
        <v>4.25</v>
      </c>
      <c r="U14" s="1">
        <v>42.78</v>
      </c>
      <c r="V14" s="1">
        <v>55553</v>
      </c>
      <c r="W14" s="1">
        <v>-83580</v>
      </c>
      <c r="X14" s="1">
        <v>79720</v>
      </c>
      <c r="Y14" s="1" t="s">
        <v>45</v>
      </c>
      <c r="AA14" s="24">
        <f t="shared" si="2"/>
        <v>14.928838951310862</v>
      </c>
    </row>
    <row r="15" spans="1:27" x14ac:dyDescent="0.3">
      <c r="A15" t="str">
        <f t="shared" si="0"/>
        <v>CE25600</v>
      </c>
      <c r="B15" t="str">
        <f t="shared" si="1"/>
        <v>PE25600</v>
      </c>
      <c r="C15" t="s">
        <v>45</v>
      </c>
      <c r="D15" s="1">
        <v>180</v>
      </c>
      <c r="E15" s="1" t="s">
        <v>14</v>
      </c>
      <c r="F15" s="1" t="s">
        <v>14</v>
      </c>
      <c r="G15" s="1" t="s">
        <v>14</v>
      </c>
      <c r="H15" s="1" t="s">
        <v>14</v>
      </c>
      <c r="I15" s="1" t="s">
        <v>14</v>
      </c>
      <c r="J15" s="1">
        <v>2420</v>
      </c>
      <c r="K15" s="1">
        <v>2893.9</v>
      </c>
      <c r="L15" s="1" t="s">
        <v>14</v>
      </c>
      <c r="M15" s="1" t="s">
        <v>14</v>
      </c>
      <c r="N15" s="1">
        <v>25600</v>
      </c>
      <c r="O15" s="1">
        <v>20</v>
      </c>
      <c r="P15" s="1">
        <v>4.8</v>
      </c>
      <c r="Q15" s="1">
        <v>5.15</v>
      </c>
      <c r="R15" s="1">
        <v>20</v>
      </c>
      <c r="S15" s="1">
        <v>-29.85</v>
      </c>
      <c r="T15" s="1">
        <v>5.15</v>
      </c>
      <c r="U15" s="1">
        <v>42.11</v>
      </c>
      <c r="V15" s="1">
        <v>25770</v>
      </c>
      <c r="W15" s="1">
        <v>-4280</v>
      </c>
      <c r="X15" s="1">
        <v>13740</v>
      </c>
      <c r="Y15" s="1" t="s">
        <v>45</v>
      </c>
      <c r="AA15" s="24">
        <f t="shared" si="2"/>
        <v>76.333333333333329</v>
      </c>
    </row>
    <row r="16" spans="1:27" x14ac:dyDescent="0.3">
      <c r="A16" t="str">
        <f t="shared" si="0"/>
        <v>CE25700</v>
      </c>
      <c r="B16" t="str">
        <f t="shared" si="1"/>
        <v>PE25700</v>
      </c>
      <c r="C16" t="s">
        <v>45</v>
      </c>
      <c r="D16" s="1">
        <v>20</v>
      </c>
      <c r="E16" s="1">
        <v>20</v>
      </c>
      <c r="F16" s="1">
        <v>1</v>
      </c>
      <c r="G16" s="1" t="s">
        <v>14</v>
      </c>
      <c r="H16" s="1">
        <v>2718.2</v>
      </c>
      <c r="I16" s="1">
        <v>1017.45</v>
      </c>
      <c r="J16" s="1">
        <v>2420</v>
      </c>
      <c r="K16" s="1">
        <v>3110.65</v>
      </c>
      <c r="L16" s="1" t="s">
        <v>14</v>
      </c>
      <c r="M16" s="1" t="s">
        <v>14</v>
      </c>
      <c r="N16" s="1">
        <v>25700</v>
      </c>
      <c r="O16" s="1">
        <v>120</v>
      </c>
      <c r="P16" s="1">
        <v>6</v>
      </c>
      <c r="Q16" s="1">
        <v>6.5</v>
      </c>
      <c r="R16" s="1">
        <v>20</v>
      </c>
      <c r="S16" s="1">
        <v>-37.5</v>
      </c>
      <c r="T16" s="1">
        <v>6</v>
      </c>
      <c r="U16" s="1">
        <v>42.96</v>
      </c>
      <c r="V16" s="1">
        <v>37389</v>
      </c>
      <c r="W16" s="1">
        <v>-22140</v>
      </c>
      <c r="X16" s="1">
        <v>22800</v>
      </c>
      <c r="Y16" s="1" t="s">
        <v>45</v>
      </c>
      <c r="AA16" s="24">
        <f t="shared" si="2"/>
        <v>1140</v>
      </c>
    </row>
    <row r="17" spans="1:27" x14ac:dyDescent="0.3">
      <c r="A17" t="str">
        <f t="shared" si="0"/>
        <v>CE25800</v>
      </c>
      <c r="B17" t="str">
        <f t="shared" si="1"/>
        <v>PE25800</v>
      </c>
      <c r="C17" t="s">
        <v>45</v>
      </c>
      <c r="D17" s="1">
        <v>280</v>
      </c>
      <c r="E17" s="1">
        <v>80</v>
      </c>
      <c r="F17" s="1">
        <v>28</v>
      </c>
      <c r="G17" s="1">
        <v>94.93</v>
      </c>
      <c r="H17" s="1">
        <v>3494.75</v>
      </c>
      <c r="I17" s="1">
        <v>2544.75</v>
      </c>
      <c r="J17" s="1">
        <v>20</v>
      </c>
      <c r="K17" s="1">
        <v>3080.75</v>
      </c>
      <c r="L17" s="1">
        <v>3317.75</v>
      </c>
      <c r="M17" s="1">
        <v>20</v>
      </c>
      <c r="N17" s="1">
        <v>25800</v>
      </c>
      <c r="O17" s="1">
        <v>20</v>
      </c>
      <c r="P17" s="1">
        <v>5.05</v>
      </c>
      <c r="Q17" s="1">
        <v>5.15</v>
      </c>
      <c r="R17" s="1">
        <v>80</v>
      </c>
      <c r="S17" s="1">
        <v>-46.35</v>
      </c>
      <c r="T17" s="1">
        <v>5.15</v>
      </c>
      <c r="U17" s="1">
        <v>39.590000000000003</v>
      </c>
      <c r="V17" s="1">
        <v>35284</v>
      </c>
      <c r="W17" s="1">
        <v>-16640</v>
      </c>
      <c r="X17" s="1">
        <v>19060</v>
      </c>
      <c r="Y17" s="1" t="s">
        <v>45</v>
      </c>
      <c r="AA17" s="24">
        <f t="shared" si="2"/>
        <v>68.071428571428569</v>
      </c>
    </row>
    <row r="18" spans="1:27" x14ac:dyDescent="0.3">
      <c r="A18" t="str">
        <f t="shared" si="0"/>
        <v>CE25900</v>
      </c>
      <c r="B18" t="str">
        <f t="shared" si="1"/>
        <v>PE25900</v>
      </c>
      <c r="C18" t="s">
        <v>45</v>
      </c>
      <c r="D18" s="1">
        <v>240</v>
      </c>
      <c r="E18" s="1">
        <v>240</v>
      </c>
      <c r="F18" s="1">
        <v>35</v>
      </c>
      <c r="G18" s="1">
        <v>90.49</v>
      </c>
      <c r="H18" s="1">
        <v>3374.3</v>
      </c>
      <c r="I18" s="1">
        <v>1825.75</v>
      </c>
      <c r="J18" s="1">
        <v>20</v>
      </c>
      <c r="K18" s="1">
        <v>2880.95</v>
      </c>
      <c r="L18" s="1">
        <v>3271.5</v>
      </c>
      <c r="M18" s="1">
        <v>500</v>
      </c>
      <c r="N18" s="1">
        <v>25900</v>
      </c>
      <c r="O18" s="1">
        <v>20</v>
      </c>
      <c r="P18" s="1">
        <v>6.25</v>
      </c>
      <c r="Q18" s="1">
        <v>7.45</v>
      </c>
      <c r="R18" s="1">
        <v>100</v>
      </c>
      <c r="S18" s="1">
        <v>-55.85</v>
      </c>
      <c r="T18" s="1">
        <v>7.4</v>
      </c>
      <c r="U18" s="1">
        <v>40.56</v>
      </c>
      <c r="V18" s="1">
        <v>44158</v>
      </c>
      <c r="W18" s="1">
        <v>-160</v>
      </c>
      <c r="X18" s="1">
        <v>16620</v>
      </c>
      <c r="Y18" s="1" t="s">
        <v>45</v>
      </c>
      <c r="AA18" s="24">
        <f t="shared" si="2"/>
        <v>69.25</v>
      </c>
    </row>
    <row r="19" spans="1:27" x14ac:dyDescent="0.3">
      <c r="A19" t="str">
        <f t="shared" si="0"/>
        <v>CE26000</v>
      </c>
      <c r="B19" t="str">
        <f t="shared" si="1"/>
        <v>PE26000</v>
      </c>
      <c r="C19" t="s">
        <v>45</v>
      </c>
      <c r="D19" s="1">
        <v>10720</v>
      </c>
      <c r="E19" s="1">
        <v>-1300</v>
      </c>
      <c r="F19" s="1">
        <v>986</v>
      </c>
      <c r="G19" s="1" t="s">
        <v>14</v>
      </c>
      <c r="H19" s="1">
        <v>2974.85</v>
      </c>
      <c r="I19" s="1">
        <v>2129.65</v>
      </c>
      <c r="J19" s="1">
        <v>20</v>
      </c>
      <c r="K19" s="1">
        <v>2888.4</v>
      </c>
      <c r="L19" s="1">
        <v>3096.95</v>
      </c>
      <c r="M19" s="1">
        <v>20</v>
      </c>
      <c r="N19" s="1">
        <v>26000</v>
      </c>
      <c r="O19" s="1">
        <v>820</v>
      </c>
      <c r="P19" s="1">
        <v>7.7</v>
      </c>
      <c r="Q19" s="1">
        <v>7.85</v>
      </c>
      <c r="R19" s="1">
        <v>500</v>
      </c>
      <c r="S19" s="1">
        <v>-70.8</v>
      </c>
      <c r="T19" s="1">
        <v>7.7</v>
      </c>
      <c r="U19" s="1">
        <v>39.54</v>
      </c>
      <c r="V19" s="1">
        <v>194492</v>
      </c>
      <c r="W19" s="1">
        <v>-97980</v>
      </c>
      <c r="X19" s="1">
        <v>260140</v>
      </c>
      <c r="Y19" s="1" t="s">
        <v>45</v>
      </c>
      <c r="AA19" s="24">
        <f t="shared" si="2"/>
        <v>24.26679104477612</v>
      </c>
    </row>
    <row r="20" spans="1:27" x14ac:dyDescent="0.3">
      <c r="A20" t="str">
        <f t="shared" si="0"/>
        <v>CE26100</v>
      </c>
      <c r="B20" t="str">
        <f t="shared" si="1"/>
        <v>PE26100</v>
      </c>
      <c r="C20" t="s">
        <v>45</v>
      </c>
      <c r="D20" s="1">
        <v>560</v>
      </c>
      <c r="E20" s="1">
        <v>-580</v>
      </c>
      <c r="F20" s="1">
        <v>383</v>
      </c>
      <c r="G20" s="1">
        <v>76.16</v>
      </c>
      <c r="H20" s="1">
        <v>3089</v>
      </c>
      <c r="I20" s="1">
        <v>2209</v>
      </c>
      <c r="J20" s="1">
        <v>40</v>
      </c>
      <c r="K20" s="1">
        <v>2849.9</v>
      </c>
      <c r="L20" s="1">
        <v>3153.6</v>
      </c>
      <c r="M20" s="1">
        <v>480</v>
      </c>
      <c r="N20" s="1">
        <v>26100</v>
      </c>
      <c r="O20" s="1">
        <v>160</v>
      </c>
      <c r="P20" s="1">
        <v>7.55</v>
      </c>
      <c r="Q20" s="1">
        <v>8.5</v>
      </c>
      <c r="R20" s="1">
        <v>160</v>
      </c>
      <c r="S20" s="1">
        <v>-85.65</v>
      </c>
      <c r="T20" s="1">
        <v>8.5</v>
      </c>
      <c r="U20" s="1">
        <v>38.409999999999997</v>
      </c>
      <c r="V20" s="1">
        <v>68851</v>
      </c>
      <c r="W20" s="1">
        <v>1940</v>
      </c>
      <c r="X20" s="1">
        <v>43140</v>
      </c>
      <c r="Y20" s="1" t="s">
        <v>45</v>
      </c>
      <c r="AA20" s="24">
        <f t="shared" si="2"/>
        <v>77.035714285714292</v>
      </c>
    </row>
    <row r="21" spans="1:27" x14ac:dyDescent="0.3">
      <c r="A21" t="str">
        <f t="shared" si="0"/>
        <v>CE26200</v>
      </c>
      <c r="B21" t="str">
        <f t="shared" si="1"/>
        <v>PE26200</v>
      </c>
      <c r="C21" t="s">
        <v>45</v>
      </c>
      <c r="D21" s="1">
        <v>3620</v>
      </c>
      <c r="E21" s="1">
        <v>2300</v>
      </c>
      <c r="F21" s="1">
        <v>364</v>
      </c>
      <c r="G21" s="1" t="s">
        <v>14</v>
      </c>
      <c r="H21" s="1">
        <v>2761.1</v>
      </c>
      <c r="I21" s="1">
        <v>2062.75</v>
      </c>
      <c r="J21" s="1">
        <v>80</v>
      </c>
      <c r="K21" s="1">
        <v>2761.6</v>
      </c>
      <c r="L21" s="1">
        <v>2975.4</v>
      </c>
      <c r="M21" s="1">
        <v>480</v>
      </c>
      <c r="N21" s="1">
        <v>26200</v>
      </c>
      <c r="O21" s="1">
        <v>180</v>
      </c>
      <c r="P21" s="1">
        <v>8.1</v>
      </c>
      <c r="Q21" s="1">
        <v>9.9499999999999993</v>
      </c>
      <c r="R21" s="1">
        <v>20</v>
      </c>
      <c r="S21" s="1">
        <v>-105.15</v>
      </c>
      <c r="T21" s="1">
        <v>8.1</v>
      </c>
      <c r="U21" s="1">
        <v>37.130000000000003</v>
      </c>
      <c r="V21" s="1">
        <v>124151</v>
      </c>
      <c r="W21" s="1">
        <v>-13680</v>
      </c>
      <c r="X21" s="1">
        <v>55600</v>
      </c>
      <c r="Y21" s="1" t="s">
        <v>45</v>
      </c>
      <c r="AA21" s="24">
        <f t="shared" si="2"/>
        <v>15.359116022099448</v>
      </c>
    </row>
    <row r="22" spans="1:27" x14ac:dyDescent="0.3">
      <c r="A22" t="str">
        <f t="shared" si="0"/>
        <v>CE26300</v>
      </c>
      <c r="B22" t="str">
        <f t="shared" si="1"/>
        <v>PE26300</v>
      </c>
      <c r="C22" t="s">
        <v>45</v>
      </c>
      <c r="D22" s="1">
        <v>3380</v>
      </c>
      <c r="E22" s="1">
        <v>3280</v>
      </c>
      <c r="F22" s="1">
        <v>555</v>
      </c>
      <c r="G22" s="1" t="s">
        <v>14</v>
      </c>
      <c r="H22" s="1">
        <v>2674.15</v>
      </c>
      <c r="I22" s="1">
        <v>2056.8000000000002</v>
      </c>
      <c r="J22" s="1">
        <v>140</v>
      </c>
      <c r="K22" s="1">
        <v>2666.65</v>
      </c>
      <c r="L22" s="1">
        <v>2839</v>
      </c>
      <c r="M22" s="1">
        <v>20</v>
      </c>
      <c r="N22" s="1">
        <v>26300</v>
      </c>
      <c r="O22" s="1">
        <v>1960</v>
      </c>
      <c r="P22" s="1">
        <v>7.75</v>
      </c>
      <c r="Q22" s="1">
        <v>8.6</v>
      </c>
      <c r="R22" s="1">
        <v>80</v>
      </c>
      <c r="S22" s="1">
        <v>-127.15</v>
      </c>
      <c r="T22" s="1">
        <v>8.5500000000000007</v>
      </c>
      <c r="U22" s="1">
        <v>36.520000000000003</v>
      </c>
      <c r="V22" s="1">
        <v>132256</v>
      </c>
      <c r="W22" s="1">
        <v>24620</v>
      </c>
      <c r="X22" s="1">
        <v>73600</v>
      </c>
      <c r="Y22" s="1" t="s">
        <v>45</v>
      </c>
      <c r="AA22" s="24">
        <f t="shared" si="2"/>
        <v>21.775147928994084</v>
      </c>
    </row>
    <row r="23" spans="1:27" x14ac:dyDescent="0.3">
      <c r="A23" t="str">
        <f t="shared" si="0"/>
        <v>CE26400</v>
      </c>
      <c r="B23" t="str">
        <f t="shared" si="1"/>
        <v>PE26400</v>
      </c>
      <c r="C23" t="s">
        <v>45</v>
      </c>
      <c r="D23" s="1">
        <v>7980</v>
      </c>
      <c r="E23" s="1">
        <v>7700</v>
      </c>
      <c r="F23" s="1">
        <v>9534</v>
      </c>
      <c r="G23" s="1" t="s">
        <v>14</v>
      </c>
      <c r="H23" s="1">
        <v>2603.5500000000002</v>
      </c>
      <c r="I23" s="1">
        <v>2079.1</v>
      </c>
      <c r="J23" s="1">
        <v>20</v>
      </c>
      <c r="K23" s="1">
        <v>2603.25</v>
      </c>
      <c r="L23" s="1">
        <v>2628.65</v>
      </c>
      <c r="M23" s="1">
        <v>80</v>
      </c>
      <c r="N23" s="1">
        <v>26400</v>
      </c>
      <c r="O23" s="1">
        <v>500</v>
      </c>
      <c r="P23" s="1">
        <v>9</v>
      </c>
      <c r="Q23" s="1">
        <v>9.6999999999999993</v>
      </c>
      <c r="R23" s="1">
        <v>140</v>
      </c>
      <c r="S23" s="1">
        <v>-155.19999999999999</v>
      </c>
      <c r="T23" s="1">
        <v>9</v>
      </c>
      <c r="U23" s="1">
        <v>35.94</v>
      </c>
      <c r="V23" s="1">
        <v>166875</v>
      </c>
      <c r="W23" s="1">
        <v>38460</v>
      </c>
      <c r="X23" s="1">
        <v>94980</v>
      </c>
      <c r="Y23" s="1" t="s">
        <v>45</v>
      </c>
      <c r="AA23" s="24">
        <f t="shared" si="2"/>
        <v>11.902255639097744</v>
      </c>
    </row>
    <row r="24" spans="1:27" x14ac:dyDescent="0.3">
      <c r="A24" t="str">
        <f t="shared" si="0"/>
        <v>CE26500</v>
      </c>
      <c r="B24" t="str">
        <f t="shared" si="1"/>
        <v>PE26500</v>
      </c>
      <c r="C24" t="s">
        <v>45</v>
      </c>
      <c r="D24" s="1">
        <v>25720</v>
      </c>
      <c r="E24" s="1">
        <v>-23840</v>
      </c>
      <c r="F24" s="1">
        <v>25473</v>
      </c>
      <c r="G24" s="1" t="s">
        <v>14</v>
      </c>
      <c r="H24" s="1">
        <v>2490</v>
      </c>
      <c r="I24" s="1">
        <v>2018.7</v>
      </c>
      <c r="J24" s="1">
        <v>20</v>
      </c>
      <c r="K24" s="1">
        <v>2483.8000000000002</v>
      </c>
      <c r="L24" s="1">
        <v>2528.8000000000002</v>
      </c>
      <c r="M24" s="1">
        <v>40</v>
      </c>
      <c r="N24" s="1">
        <v>26500</v>
      </c>
      <c r="O24" s="1">
        <v>220</v>
      </c>
      <c r="P24" s="1">
        <v>8.8000000000000007</v>
      </c>
      <c r="Q24" s="1">
        <v>8.85</v>
      </c>
      <c r="R24" s="1">
        <v>160</v>
      </c>
      <c r="S24" s="1">
        <v>-189.1</v>
      </c>
      <c r="T24" s="1">
        <v>8.6</v>
      </c>
      <c r="U24" s="1">
        <v>34.340000000000003</v>
      </c>
      <c r="V24" s="1">
        <v>418109</v>
      </c>
      <c r="W24" s="1">
        <v>61000</v>
      </c>
      <c r="X24" s="1">
        <v>382380</v>
      </c>
      <c r="Y24" s="1" t="s">
        <v>45</v>
      </c>
      <c r="AA24" s="24">
        <f t="shared" si="2"/>
        <v>14.867029548989114</v>
      </c>
    </row>
    <row r="25" spans="1:27" x14ac:dyDescent="0.3">
      <c r="A25" t="str">
        <f t="shared" si="0"/>
        <v>CE26600</v>
      </c>
      <c r="B25" t="str">
        <f t="shared" si="1"/>
        <v>PE26600</v>
      </c>
      <c r="C25" t="s">
        <v>45</v>
      </c>
      <c r="D25" s="1">
        <v>11900</v>
      </c>
      <c r="E25" s="1">
        <v>3700</v>
      </c>
      <c r="F25" s="1">
        <v>12285</v>
      </c>
      <c r="G25" s="1" t="s">
        <v>14</v>
      </c>
      <c r="H25" s="1">
        <v>2396.4</v>
      </c>
      <c r="I25" s="1">
        <v>1994.35</v>
      </c>
      <c r="J25" s="1">
        <v>100</v>
      </c>
      <c r="K25" s="1">
        <v>2368.4499999999998</v>
      </c>
      <c r="L25" s="1">
        <v>2429.75</v>
      </c>
      <c r="M25" s="1">
        <v>20</v>
      </c>
      <c r="N25" s="1">
        <v>26600</v>
      </c>
      <c r="O25" s="1">
        <v>80</v>
      </c>
      <c r="P25" s="1">
        <v>10</v>
      </c>
      <c r="Q25" s="1">
        <v>10.85</v>
      </c>
      <c r="R25" s="1">
        <v>80</v>
      </c>
      <c r="S25" s="1">
        <v>-220.3</v>
      </c>
      <c r="T25" s="1">
        <v>10.9</v>
      </c>
      <c r="U25" s="1">
        <v>34.01</v>
      </c>
      <c r="V25" s="1">
        <v>198994</v>
      </c>
      <c r="W25" s="1">
        <v>34820</v>
      </c>
      <c r="X25" s="1">
        <v>97900</v>
      </c>
      <c r="Y25" s="1" t="s">
        <v>45</v>
      </c>
      <c r="AA25" s="24">
        <f t="shared" si="2"/>
        <v>8.2268907563025202</v>
      </c>
    </row>
    <row r="26" spans="1:27" x14ac:dyDescent="0.3">
      <c r="A26" t="str">
        <f t="shared" si="0"/>
        <v>CE26700</v>
      </c>
      <c r="B26" t="str">
        <f t="shared" si="1"/>
        <v>PE26700</v>
      </c>
      <c r="C26" t="s">
        <v>45</v>
      </c>
      <c r="D26" s="1">
        <v>22940</v>
      </c>
      <c r="E26" s="1">
        <v>-22120</v>
      </c>
      <c r="F26" s="1">
        <v>29516</v>
      </c>
      <c r="G26" s="1" t="s">
        <v>14</v>
      </c>
      <c r="H26" s="1">
        <v>2279.65</v>
      </c>
      <c r="I26" s="1">
        <v>1929.35</v>
      </c>
      <c r="J26" s="1">
        <v>600</v>
      </c>
      <c r="K26" s="1">
        <v>2281.1</v>
      </c>
      <c r="L26" s="1">
        <v>2333.15</v>
      </c>
      <c r="M26" s="1">
        <v>100</v>
      </c>
      <c r="N26" s="1">
        <v>26700</v>
      </c>
      <c r="O26" s="1">
        <v>40</v>
      </c>
      <c r="P26" s="1">
        <v>11.4</v>
      </c>
      <c r="Q26" s="1">
        <v>11.5</v>
      </c>
      <c r="R26" s="1">
        <v>100</v>
      </c>
      <c r="S26" s="1">
        <v>-262.8</v>
      </c>
      <c r="T26" s="1">
        <v>11.8</v>
      </c>
      <c r="U26" s="1">
        <v>33.21</v>
      </c>
      <c r="V26" s="1">
        <v>215946</v>
      </c>
      <c r="W26" s="1">
        <v>21220</v>
      </c>
      <c r="X26" s="1">
        <v>110420</v>
      </c>
      <c r="Y26" s="1" t="s">
        <v>45</v>
      </c>
      <c r="AA26" s="24">
        <f t="shared" si="2"/>
        <v>4.8134263295553614</v>
      </c>
    </row>
    <row r="27" spans="1:27" x14ac:dyDescent="0.3">
      <c r="A27" t="str">
        <f t="shared" si="0"/>
        <v>CE26800</v>
      </c>
      <c r="B27" t="str">
        <f t="shared" si="1"/>
        <v>PE26800</v>
      </c>
      <c r="C27" t="s">
        <v>45</v>
      </c>
      <c r="D27" s="1">
        <v>78560</v>
      </c>
      <c r="E27" s="1">
        <v>-45560</v>
      </c>
      <c r="F27" s="1">
        <v>79204</v>
      </c>
      <c r="G27" s="1" t="s">
        <v>14</v>
      </c>
      <c r="H27" s="1">
        <v>2176</v>
      </c>
      <c r="I27" s="1">
        <v>1880.95</v>
      </c>
      <c r="J27" s="1">
        <v>20</v>
      </c>
      <c r="K27" s="1">
        <v>2158.4499999999998</v>
      </c>
      <c r="L27" s="1">
        <v>2217.4</v>
      </c>
      <c r="M27" s="1">
        <v>140</v>
      </c>
      <c r="N27" s="1">
        <v>26800</v>
      </c>
      <c r="O27" s="1">
        <v>20</v>
      </c>
      <c r="P27" s="1">
        <v>10.5</v>
      </c>
      <c r="Q27" s="1">
        <v>11</v>
      </c>
      <c r="R27" s="1">
        <v>20</v>
      </c>
      <c r="S27" s="1">
        <v>-301.64999999999998</v>
      </c>
      <c r="T27" s="1">
        <v>11</v>
      </c>
      <c r="U27" s="1">
        <v>31.43</v>
      </c>
      <c r="V27" s="1">
        <v>258808</v>
      </c>
      <c r="W27" s="1">
        <v>16760</v>
      </c>
      <c r="X27" s="1">
        <v>109660</v>
      </c>
      <c r="Y27" s="1" t="s">
        <v>45</v>
      </c>
      <c r="AA27" s="24">
        <f t="shared" si="2"/>
        <v>1.3958757637474541</v>
      </c>
    </row>
    <row r="28" spans="1:27" x14ac:dyDescent="0.3">
      <c r="A28" t="str">
        <f t="shared" si="0"/>
        <v>CE26900</v>
      </c>
      <c r="B28" t="str">
        <f t="shared" si="1"/>
        <v>PE26900</v>
      </c>
      <c r="C28" t="s">
        <v>45</v>
      </c>
      <c r="D28" s="1">
        <v>46760</v>
      </c>
      <c r="E28" s="1">
        <v>-58480</v>
      </c>
      <c r="F28" s="1">
        <v>100012</v>
      </c>
      <c r="G28" s="1" t="s">
        <v>14</v>
      </c>
      <c r="H28" s="1">
        <v>2080</v>
      </c>
      <c r="I28" s="1">
        <v>1831.75</v>
      </c>
      <c r="J28" s="1">
        <v>20</v>
      </c>
      <c r="K28" s="1">
        <v>2077.9</v>
      </c>
      <c r="L28" s="1">
        <v>2116.3000000000002</v>
      </c>
      <c r="M28" s="1">
        <v>20</v>
      </c>
      <c r="N28" s="1">
        <v>26900</v>
      </c>
      <c r="O28" s="1">
        <v>20</v>
      </c>
      <c r="P28" s="1">
        <v>10.75</v>
      </c>
      <c r="Q28" s="1">
        <v>13</v>
      </c>
      <c r="R28" s="1">
        <v>160</v>
      </c>
      <c r="S28" s="1">
        <v>-354.5</v>
      </c>
      <c r="T28" s="1">
        <v>13</v>
      </c>
      <c r="U28" s="1">
        <v>31.33</v>
      </c>
      <c r="V28" s="1">
        <v>206792</v>
      </c>
      <c r="W28" s="1">
        <v>39880</v>
      </c>
      <c r="X28" s="1">
        <v>100720</v>
      </c>
      <c r="Y28" s="1" t="s">
        <v>45</v>
      </c>
      <c r="AA28" s="24">
        <f t="shared" si="2"/>
        <v>2.1539777587681779</v>
      </c>
    </row>
    <row r="29" spans="1:27" x14ac:dyDescent="0.3">
      <c r="A29" t="str">
        <f t="shared" si="0"/>
        <v>CE27000</v>
      </c>
      <c r="B29" t="str">
        <f t="shared" si="1"/>
        <v>PE27000</v>
      </c>
      <c r="C29" t="s">
        <v>45</v>
      </c>
      <c r="D29" s="1">
        <v>165120</v>
      </c>
      <c r="E29" s="1">
        <v>-415740</v>
      </c>
      <c r="F29" s="1">
        <v>274559</v>
      </c>
      <c r="G29" s="1">
        <v>24.13</v>
      </c>
      <c r="H29" s="1">
        <v>2008.2</v>
      </c>
      <c r="I29" s="1">
        <v>1802.75</v>
      </c>
      <c r="J29" s="1">
        <v>20</v>
      </c>
      <c r="K29" s="1">
        <v>2008.85</v>
      </c>
      <c r="L29" s="1">
        <v>2029.95</v>
      </c>
      <c r="M29" s="1">
        <v>20</v>
      </c>
      <c r="N29" s="1">
        <v>27000</v>
      </c>
      <c r="O29" s="1">
        <v>20</v>
      </c>
      <c r="P29" s="1">
        <v>14.4</v>
      </c>
      <c r="Q29" s="1">
        <v>14.7</v>
      </c>
      <c r="R29" s="1">
        <v>180</v>
      </c>
      <c r="S29" s="1">
        <v>-412</v>
      </c>
      <c r="T29" s="1">
        <v>14.5</v>
      </c>
      <c r="U29" s="1">
        <v>30.68</v>
      </c>
      <c r="V29" s="1">
        <v>472686</v>
      </c>
      <c r="W29" s="1">
        <v>240220</v>
      </c>
      <c r="X29" s="1">
        <v>791320</v>
      </c>
      <c r="Y29" s="1" t="s">
        <v>45</v>
      </c>
      <c r="AA29" s="24">
        <f t="shared" si="2"/>
        <v>4.7923934108527133</v>
      </c>
    </row>
    <row r="30" spans="1:27" x14ac:dyDescent="0.3">
      <c r="A30" t="str">
        <f t="shared" si="0"/>
        <v>CE27100</v>
      </c>
      <c r="B30" t="str">
        <f t="shared" si="1"/>
        <v>PE27100</v>
      </c>
      <c r="C30" t="s">
        <v>45</v>
      </c>
      <c r="D30" s="1">
        <v>34060</v>
      </c>
      <c r="E30" s="1">
        <v>-87520</v>
      </c>
      <c r="F30" s="1">
        <v>158617</v>
      </c>
      <c r="G30" s="1" t="s">
        <v>14</v>
      </c>
      <c r="H30" s="1">
        <v>1914</v>
      </c>
      <c r="I30" s="1">
        <v>1744.8</v>
      </c>
      <c r="J30" s="1">
        <v>280</v>
      </c>
      <c r="K30" s="1">
        <v>1870.3</v>
      </c>
      <c r="L30" s="1">
        <v>1934.95</v>
      </c>
      <c r="M30" s="1">
        <v>20</v>
      </c>
      <c r="N30" s="1">
        <v>27100</v>
      </c>
      <c r="O30" s="1">
        <v>20</v>
      </c>
      <c r="P30" s="1">
        <v>14.7</v>
      </c>
      <c r="Q30" s="1">
        <v>16.850000000000001</v>
      </c>
      <c r="R30" s="1">
        <v>300</v>
      </c>
      <c r="S30" s="1">
        <v>-463.7</v>
      </c>
      <c r="T30" s="1">
        <v>17.25</v>
      </c>
      <c r="U30" s="1">
        <v>29.91</v>
      </c>
      <c r="V30" s="1">
        <v>137906</v>
      </c>
      <c r="W30" s="1">
        <v>50360</v>
      </c>
      <c r="X30" s="1">
        <v>73260</v>
      </c>
      <c r="Y30" s="1" t="s">
        <v>45</v>
      </c>
      <c r="AA30" s="24">
        <f t="shared" si="2"/>
        <v>2.1509101585437462</v>
      </c>
    </row>
    <row r="31" spans="1:27" x14ac:dyDescent="0.3">
      <c r="A31" t="str">
        <f t="shared" si="0"/>
        <v>CE27200</v>
      </c>
      <c r="B31" t="str">
        <f t="shared" si="1"/>
        <v>PE27200</v>
      </c>
      <c r="C31" t="s">
        <v>45</v>
      </c>
      <c r="D31" s="1">
        <v>58940</v>
      </c>
      <c r="E31" s="1">
        <v>-139900</v>
      </c>
      <c r="F31" s="1">
        <v>220862</v>
      </c>
      <c r="G31" s="1" t="s">
        <v>14</v>
      </c>
      <c r="H31" s="1">
        <v>1797.15</v>
      </c>
      <c r="I31" s="1">
        <v>1660.6</v>
      </c>
      <c r="J31" s="1">
        <v>20</v>
      </c>
      <c r="K31" s="1">
        <v>1780.25</v>
      </c>
      <c r="L31" s="1">
        <v>1837</v>
      </c>
      <c r="M31" s="1">
        <v>40</v>
      </c>
      <c r="N31" s="1">
        <v>27200</v>
      </c>
      <c r="O31" s="1">
        <v>1540</v>
      </c>
      <c r="P31" s="1">
        <v>17.5</v>
      </c>
      <c r="Q31" s="1">
        <v>19.8</v>
      </c>
      <c r="R31" s="1">
        <v>20</v>
      </c>
      <c r="S31" s="1">
        <v>-532.85</v>
      </c>
      <c r="T31" s="1">
        <v>17.5</v>
      </c>
      <c r="U31" s="1">
        <v>29.14</v>
      </c>
      <c r="V31" s="1">
        <v>150339</v>
      </c>
      <c r="W31" s="1">
        <v>71400</v>
      </c>
      <c r="X31" s="1">
        <v>110660</v>
      </c>
      <c r="Y31" s="1" t="s">
        <v>45</v>
      </c>
      <c r="AA31" s="24">
        <f t="shared" si="2"/>
        <v>1.8775025449609772</v>
      </c>
    </row>
    <row r="32" spans="1:27" x14ac:dyDescent="0.3">
      <c r="A32" t="str">
        <f t="shared" si="0"/>
        <v>CE27300</v>
      </c>
      <c r="B32" t="str">
        <f t="shared" si="1"/>
        <v>PE27300</v>
      </c>
      <c r="C32" t="s">
        <v>45</v>
      </c>
      <c r="D32" s="1">
        <v>42200</v>
      </c>
      <c r="E32" s="1">
        <v>-164320</v>
      </c>
      <c r="F32" s="1">
        <v>206559</v>
      </c>
      <c r="G32" s="1">
        <v>23.22</v>
      </c>
      <c r="H32" s="1">
        <v>1710</v>
      </c>
      <c r="I32" s="1">
        <v>1603.65</v>
      </c>
      <c r="J32" s="1">
        <v>100</v>
      </c>
      <c r="K32" s="1">
        <v>1707.9</v>
      </c>
      <c r="L32" s="1">
        <v>1739.8</v>
      </c>
      <c r="M32" s="1">
        <v>40</v>
      </c>
      <c r="N32" s="1">
        <v>27300</v>
      </c>
      <c r="O32" s="1">
        <v>20</v>
      </c>
      <c r="P32" s="1">
        <v>18.399999999999999</v>
      </c>
      <c r="Q32" s="1">
        <v>19.45</v>
      </c>
      <c r="R32" s="1">
        <v>80</v>
      </c>
      <c r="S32" s="1">
        <v>-604.54999999999995</v>
      </c>
      <c r="T32" s="1">
        <v>19.45</v>
      </c>
      <c r="U32" s="1">
        <v>28.53</v>
      </c>
      <c r="V32" s="1">
        <v>146597</v>
      </c>
      <c r="W32" s="1">
        <v>90520</v>
      </c>
      <c r="X32" s="1">
        <v>120540</v>
      </c>
      <c r="Y32" s="1" t="s">
        <v>45</v>
      </c>
      <c r="AA32" s="24">
        <f t="shared" si="2"/>
        <v>2.856398104265403</v>
      </c>
    </row>
    <row r="33" spans="1:27" x14ac:dyDescent="0.3">
      <c r="A33" t="str">
        <f t="shared" si="0"/>
        <v>CE27400</v>
      </c>
      <c r="B33" t="str">
        <f t="shared" si="1"/>
        <v>PE27400</v>
      </c>
      <c r="C33" t="s">
        <v>45</v>
      </c>
      <c r="D33" s="1">
        <v>40220</v>
      </c>
      <c r="E33" s="1">
        <v>-113680</v>
      </c>
      <c r="F33" s="1">
        <v>173500</v>
      </c>
      <c r="G33" s="1">
        <v>26.09</v>
      </c>
      <c r="H33" s="1">
        <v>1600.7</v>
      </c>
      <c r="I33" s="1">
        <v>1515</v>
      </c>
      <c r="J33" s="1">
        <v>20</v>
      </c>
      <c r="K33" s="1">
        <v>1614.95</v>
      </c>
      <c r="L33" s="1">
        <v>1735.9</v>
      </c>
      <c r="M33" s="1">
        <v>2420</v>
      </c>
      <c r="N33" s="1">
        <v>27400</v>
      </c>
      <c r="O33" s="1">
        <v>60</v>
      </c>
      <c r="P33" s="1">
        <v>15.75</v>
      </c>
      <c r="Q33" s="1">
        <v>22.95</v>
      </c>
      <c r="R33" s="1">
        <v>20</v>
      </c>
      <c r="S33" s="1">
        <v>-690.3</v>
      </c>
      <c r="T33" s="1">
        <v>15.3</v>
      </c>
      <c r="U33" s="1">
        <v>27.64</v>
      </c>
      <c r="V33" s="1">
        <v>121399</v>
      </c>
      <c r="W33" s="1">
        <v>59780</v>
      </c>
      <c r="X33" s="1">
        <v>70700</v>
      </c>
      <c r="Y33" s="1" t="s">
        <v>45</v>
      </c>
      <c r="AA33" s="24">
        <f t="shared" si="2"/>
        <v>1.7578319244157137</v>
      </c>
    </row>
    <row r="34" spans="1:27" x14ac:dyDescent="0.3">
      <c r="A34" t="str">
        <f t="shared" si="0"/>
        <v>CE27500</v>
      </c>
      <c r="B34" t="str">
        <f t="shared" si="1"/>
        <v>PE27500</v>
      </c>
      <c r="C34" t="s">
        <v>45</v>
      </c>
      <c r="D34" s="1">
        <v>135900</v>
      </c>
      <c r="E34" s="1">
        <v>-444520</v>
      </c>
      <c r="F34" s="1">
        <v>377095</v>
      </c>
      <c r="G34" s="1">
        <v>19.12</v>
      </c>
      <c r="H34" s="1">
        <v>1520.95</v>
      </c>
      <c r="I34" s="1">
        <v>1453.3</v>
      </c>
      <c r="J34" s="1">
        <v>20</v>
      </c>
      <c r="K34" s="1">
        <v>1518.75</v>
      </c>
      <c r="L34" s="1">
        <v>1537.95</v>
      </c>
      <c r="M34" s="1">
        <v>20</v>
      </c>
      <c r="N34" s="1">
        <v>27500</v>
      </c>
      <c r="O34" s="1">
        <v>1100</v>
      </c>
      <c r="P34" s="1">
        <v>25</v>
      </c>
      <c r="Q34" s="1">
        <v>25.45</v>
      </c>
      <c r="R34" s="1">
        <v>100</v>
      </c>
      <c r="S34" s="1">
        <v>-760.35</v>
      </c>
      <c r="T34" s="1">
        <v>25</v>
      </c>
      <c r="U34" s="1">
        <v>26.81</v>
      </c>
      <c r="V34" s="1">
        <v>395452</v>
      </c>
      <c r="W34" s="1">
        <v>319240</v>
      </c>
      <c r="X34" s="1">
        <v>586680</v>
      </c>
      <c r="Y34" s="1" t="s">
        <v>45</v>
      </c>
      <c r="AA34" s="24">
        <f t="shared" si="2"/>
        <v>4.3169977924944813</v>
      </c>
    </row>
    <row r="35" spans="1:27" x14ac:dyDescent="0.3">
      <c r="A35" t="str">
        <f t="shared" si="0"/>
        <v>CE27600</v>
      </c>
      <c r="B35" t="str">
        <f t="shared" si="1"/>
        <v>PE27600</v>
      </c>
      <c r="C35" t="s">
        <v>45</v>
      </c>
      <c r="D35" s="1">
        <v>57940</v>
      </c>
      <c r="E35" s="1">
        <v>-41160</v>
      </c>
      <c r="F35" s="1">
        <v>136912</v>
      </c>
      <c r="G35" s="1">
        <v>22.73</v>
      </c>
      <c r="H35" s="1">
        <v>1418.85</v>
      </c>
      <c r="I35" s="1">
        <v>1367.2</v>
      </c>
      <c r="J35" s="1">
        <v>40</v>
      </c>
      <c r="K35" s="1">
        <v>1421.9</v>
      </c>
      <c r="L35" s="1">
        <v>1449.95</v>
      </c>
      <c r="M35" s="1">
        <v>20</v>
      </c>
      <c r="N35" s="1">
        <v>27600</v>
      </c>
      <c r="O35" s="1">
        <v>600</v>
      </c>
      <c r="P35" s="1">
        <v>27.85</v>
      </c>
      <c r="Q35" s="1">
        <v>29.95</v>
      </c>
      <c r="R35" s="1">
        <v>20</v>
      </c>
      <c r="S35" s="1">
        <v>-849.85</v>
      </c>
      <c r="T35" s="1">
        <v>28.7</v>
      </c>
      <c r="U35" s="1">
        <v>26.04</v>
      </c>
      <c r="V35" s="1">
        <v>105105</v>
      </c>
      <c r="W35" s="1">
        <v>62740</v>
      </c>
      <c r="X35" s="1">
        <v>70280</v>
      </c>
      <c r="Y35" s="1" t="s">
        <v>45</v>
      </c>
      <c r="AA35" s="24">
        <f t="shared" si="2"/>
        <v>1.2129789437348981</v>
      </c>
    </row>
    <row r="36" spans="1:27" x14ac:dyDescent="0.3">
      <c r="A36" t="str">
        <f t="shared" si="0"/>
        <v>CE27700</v>
      </c>
      <c r="B36" t="str">
        <f t="shared" si="1"/>
        <v>PE27700</v>
      </c>
      <c r="C36" t="s">
        <v>45</v>
      </c>
      <c r="D36" s="1">
        <v>117520</v>
      </c>
      <c r="E36" s="1">
        <v>-47420</v>
      </c>
      <c r="F36" s="1">
        <v>124172</v>
      </c>
      <c r="G36" s="1">
        <v>22.29</v>
      </c>
      <c r="H36" s="1">
        <v>1318.55</v>
      </c>
      <c r="I36" s="1">
        <v>1279.2</v>
      </c>
      <c r="J36" s="1">
        <v>20</v>
      </c>
      <c r="K36" s="1">
        <v>1317.1</v>
      </c>
      <c r="L36" s="1">
        <v>1354.3</v>
      </c>
      <c r="M36" s="1">
        <v>20</v>
      </c>
      <c r="N36" s="1">
        <v>27700</v>
      </c>
      <c r="O36" s="1">
        <v>940</v>
      </c>
      <c r="P36" s="1">
        <v>32</v>
      </c>
      <c r="Q36" s="1">
        <v>33.4</v>
      </c>
      <c r="R36" s="1">
        <v>60</v>
      </c>
      <c r="S36" s="1">
        <v>-894.05</v>
      </c>
      <c r="T36" s="1">
        <v>32</v>
      </c>
      <c r="U36" s="1">
        <v>25.29</v>
      </c>
      <c r="V36" s="1">
        <v>84486</v>
      </c>
      <c r="W36" s="1">
        <v>85460</v>
      </c>
      <c r="X36" s="1">
        <v>95900</v>
      </c>
      <c r="Y36" s="1" t="s">
        <v>45</v>
      </c>
      <c r="AA36" s="24">
        <f t="shared" si="2"/>
        <v>0.81603131381892446</v>
      </c>
    </row>
    <row r="37" spans="1:27" x14ac:dyDescent="0.3">
      <c r="A37" t="str">
        <f t="shared" si="0"/>
        <v>CE27800</v>
      </c>
      <c r="B37" t="str">
        <f t="shared" si="1"/>
        <v>PE27800</v>
      </c>
      <c r="C37" t="s">
        <v>45</v>
      </c>
      <c r="D37" s="1">
        <v>50120</v>
      </c>
      <c r="E37" s="1">
        <v>-87360</v>
      </c>
      <c r="F37" s="1">
        <v>135494</v>
      </c>
      <c r="G37" s="1">
        <v>19.07</v>
      </c>
      <c r="H37" s="1">
        <v>1234.75</v>
      </c>
      <c r="I37" s="1">
        <v>1203.1500000000001</v>
      </c>
      <c r="J37" s="1">
        <v>200</v>
      </c>
      <c r="K37" s="1">
        <v>1231.5999999999999</v>
      </c>
      <c r="L37" s="1">
        <v>1276.7</v>
      </c>
      <c r="M37" s="1">
        <v>20</v>
      </c>
      <c r="N37" s="1">
        <v>27800</v>
      </c>
      <c r="O37" s="1">
        <v>120</v>
      </c>
      <c r="P37" s="1">
        <v>38</v>
      </c>
      <c r="Q37" s="1">
        <v>39.950000000000003</v>
      </c>
      <c r="R37" s="1">
        <v>20</v>
      </c>
      <c r="S37" s="1">
        <v>-1019.75</v>
      </c>
      <c r="T37" s="1">
        <v>38</v>
      </c>
      <c r="U37" s="1">
        <v>25.13</v>
      </c>
      <c r="V37" s="1">
        <v>104257</v>
      </c>
      <c r="W37" s="1">
        <v>84460</v>
      </c>
      <c r="X37" s="1">
        <v>101860</v>
      </c>
      <c r="Y37" s="1" t="s">
        <v>45</v>
      </c>
      <c r="AA37" s="24">
        <f t="shared" si="2"/>
        <v>2.0323224261771746</v>
      </c>
    </row>
    <row r="38" spans="1:27" x14ac:dyDescent="0.3">
      <c r="A38" t="str">
        <f t="shared" si="0"/>
        <v>CE27900</v>
      </c>
      <c r="B38" t="str">
        <f t="shared" si="1"/>
        <v>PE27900</v>
      </c>
      <c r="C38" t="s">
        <v>45</v>
      </c>
      <c r="D38" s="1">
        <v>35360</v>
      </c>
      <c r="E38" s="1">
        <v>-32520</v>
      </c>
      <c r="F38" s="1">
        <v>88519</v>
      </c>
      <c r="G38" s="1">
        <v>21.11</v>
      </c>
      <c r="H38" s="1">
        <v>1149.25</v>
      </c>
      <c r="I38" s="1">
        <v>1124.2</v>
      </c>
      <c r="J38" s="1">
        <v>20</v>
      </c>
      <c r="K38" s="1">
        <v>1053.55</v>
      </c>
      <c r="L38" s="1">
        <v>1154.95</v>
      </c>
      <c r="M38" s="1">
        <v>20</v>
      </c>
      <c r="N38" s="1">
        <v>27900</v>
      </c>
      <c r="O38" s="1">
        <v>140</v>
      </c>
      <c r="P38" s="1">
        <v>47.1</v>
      </c>
      <c r="Q38" s="1">
        <v>49.15</v>
      </c>
      <c r="R38" s="1">
        <v>80</v>
      </c>
      <c r="S38" s="1">
        <v>-1104</v>
      </c>
      <c r="T38" s="1">
        <v>50</v>
      </c>
      <c r="U38" s="1">
        <v>24.69</v>
      </c>
      <c r="V38" s="1">
        <v>90067</v>
      </c>
      <c r="W38" s="1">
        <v>86480</v>
      </c>
      <c r="X38" s="1">
        <v>91480</v>
      </c>
      <c r="Y38" s="1" t="s">
        <v>45</v>
      </c>
      <c r="AA38" s="24">
        <f t="shared" si="2"/>
        <v>2.5871040723981902</v>
      </c>
    </row>
    <row r="39" spans="1:27" x14ac:dyDescent="0.3">
      <c r="A39" t="str">
        <f t="shared" si="0"/>
        <v>CE28000</v>
      </c>
      <c r="B39" t="str">
        <f t="shared" si="1"/>
        <v>PE28000</v>
      </c>
      <c r="C39" t="s">
        <v>45</v>
      </c>
      <c r="D39" s="1">
        <v>311020</v>
      </c>
      <c r="E39" s="1">
        <v>-348120</v>
      </c>
      <c r="F39" s="1">
        <v>401234</v>
      </c>
      <c r="G39" s="1">
        <v>20.53</v>
      </c>
      <c r="H39" s="1">
        <v>1060</v>
      </c>
      <c r="I39" s="1">
        <v>1040.2</v>
      </c>
      <c r="J39" s="1">
        <v>1000</v>
      </c>
      <c r="K39" s="1">
        <v>1060</v>
      </c>
      <c r="L39" s="1">
        <v>1063</v>
      </c>
      <c r="M39" s="1">
        <v>40</v>
      </c>
      <c r="N39" s="1">
        <v>28000</v>
      </c>
      <c r="O39" s="1">
        <v>20</v>
      </c>
      <c r="P39" s="1">
        <v>59.75</v>
      </c>
      <c r="Q39" s="1">
        <v>60</v>
      </c>
      <c r="R39" s="1">
        <v>900</v>
      </c>
      <c r="S39" s="1">
        <v>-1181.05</v>
      </c>
      <c r="T39" s="1">
        <v>60</v>
      </c>
      <c r="U39" s="1">
        <v>24.51</v>
      </c>
      <c r="V39" s="1">
        <v>455072</v>
      </c>
      <c r="W39" s="1">
        <v>653480</v>
      </c>
      <c r="X39" s="1">
        <v>860380</v>
      </c>
      <c r="Y39" s="1" t="s">
        <v>45</v>
      </c>
      <c r="AA39" s="24">
        <f t="shared" si="2"/>
        <v>2.766317278631599</v>
      </c>
    </row>
    <row r="40" spans="1:27" x14ac:dyDescent="0.3">
      <c r="A40" t="str">
        <f t="shared" si="0"/>
        <v>CE28100</v>
      </c>
      <c r="B40" t="str">
        <f t="shared" si="1"/>
        <v>PE28100</v>
      </c>
      <c r="C40" t="s">
        <v>45</v>
      </c>
      <c r="D40" s="1">
        <v>42800</v>
      </c>
      <c r="E40" s="1">
        <v>-19240</v>
      </c>
      <c r="F40" s="1">
        <v>97769</v>
      </c>
      <c r="G40" s="1">
        <v>22.99</v>
      </c>
      <c r="H40" s="1">
        <v>975</v>
      </c>
      <c r="I40" s="1">
        <v>959.45</v>
      </c>
      <c r="J40" s="1">
        <v>20</v>
      </c>
      <c r="K40" s="1">
        <v>952.3</v>
      </c>
      <c r="L40" s="1">
        <v>997.15</v>
      </c>
      <c r="M40" s="1">
        <v>20</v>
      </c>
      <c r="N40" s="1">
        <v>28100</v>
      </c>
      <c r="O40" s="1">
        <v>20</v>
      </c>
      <c r="P40" s="1">
        <v>70.45</v>
      </c>
      <c r="Q40" s="1">
        <v>73</v>
      </c>
      <c r="R40" s="1">
        <v>300</v>
      </c>
      <c r="S40" s="1">
        <v>-1239.5</v>
      </c>
      <c r="T40" s="1">
        <v>73</v>
      </c>
      <c r="U40" s="1">
        <v>24</v>
      </c>
      <c r="V40" s="1">
        <v>69010</v>
      </c>
      <c r="W40" s="1">
        <v>55520</v>
      </c>
      <c r="X40" s="1">
        <v>59920</v>
      </c>
      <c r="Y40" s="1" t="s">
        <v>45</v>
      </c>
      <c r="AA40" s="24">
        <f t="shared" si="2"/>
        <v>1.4</v>
      </c>
    </row>
    <row r="41" spans="1:27" x14ac:dyDescent="0.3">
      <c r="A41" t="str">
        <f t="shared" si="0"/>
        <v>CE28200</v>
      </c>
      <c r="B41" t="str">
        <f t="shared" si="1"/>
        <v>PE28200</v>
      </c>
      <c r="C41" t="s">
        <v>45</v>
      </c>
      <c r="D41" s="1">
        <v>34400</v>
      </c>
      <c r="E41" s="1">
        <v>-37760</v>
      </c>
      <c r="F41" s="1">
        <v>112168</v>
      </c>
      <c r="G41" s="1">
        <v>20.57</v>
      </c>
      <c r="H41" s="1">
        <v>863.45</v>
      </c>
      <c r="I41" s="1">
        <v>850.2</v>
      </c>
      <c r="J41" s="1">
        <v>20</v>
      </c>
      <c r="K41" s="1">
        <v>785.6</v>
      </c>
      <c r="L41" s="1">
        <v>942</v>
      </c>
      <c r="M41" s="1">
        <v>20</v>
      </c>
      <c r="N41" s="1">
        <v>28200</v>
      </c>
      <c r="O41" s="1">
        <v>1980</v>
      </c>
      <c r="P41" s="1">
        <v>83.55</v>
      </c>
      <c r="Q41" s="1">
        <v>84.95</v>
      </c>
      <c r="R41" s="1">
        <v>80</v>
      </c>
      <c r="S41" s="1">
        <v>-1337.45</v>
      </c>
      <c r="T41" s="1">
        <v>85</v>
      </c>
      <c r="U41" s="1">
        <v>23.65</v>
      </c>
      <c r="V41" s="1">
        <v>91554</v>
      </c>
      <c r="W41" s="1">
        <v>123720</v>
      </c>
      <c r="X41" s="1">
        <v>127640</v>
      </c>
      <c r="Y41" s="1" t="s">
        <v>45</v>
      </c>
      <c r="AA41" s="24">
        <f t="shared" si="2"/>
        <v>3.7104651162790696</v>
      </c>
    </row>
    <row r="42" spans="1:27" x14ac:dyDescent="0.3">
      <c r="A42" t="str">
        <f t="shared" ref="A42:A52" si="3">"CE"&amp;N42</f>
        <v>CE28300</v>
      </c>
      <c r="B42" t="str">
        <f t="shared" ref="B42:B52" si="4">"PE"&amp;N42</f>
        <v>PE28300</v>
      </c>
      <c r="C42" t="s">
        <v>45</v>
      </c>
      <c r="D42" s="1">
        <v>33140</v>
      </c>
      <c r="E42" s="1">
        <v>-32740</v>
      </c>
      <c r="F42" s="1">
        <v>100706</v>
      </c>
      <c r="G42" s="1">
        <v>21.89</v>
      </c>
      <c r="H42" s="1">
        <v>790</v>
      </c>
      <c r="I42" s="1">
        <v>779.15</v>
      </c>
      <c r="J42" s="1">
        <v>2420</v>
      </c>
      <c r="K42" s="1">
        <v>587.5</v>
      </c>
      <c r="L42" s="1">
        <v>858</v>
      </c>
      <c r="M42" s="1">
        <v>20</v>
      </c>
      <c r="N42" s="1">
        <v>28300</v>
      </c>
      <c r="O42" s="1">
        <v>140</v>
      </c>
      <c r="P42" s="1">
        <v>100</v>
      </c>
      <c r="Q42" s="1">
        <v>102</v>
      </c>
      <c r="R42" s="1">
        <v>2720</v>
      </c>
      <c r="S42" s="1">
        <v>-1352.95</v>
      </c>
      <c r="T42" s="1">
        <v>102</v>
      </c>
      <c r="U42" s="1">
        <v>23.5</v>
      </c>
      <c r="V42" s="1">
        <v>79884</v>
      </c>
      <c r="W42" s="1">
        <v>84260</v>
      </c>
      <c r="X42" s="1">
        <v>86360</v>
      </c>
      <c r="Y42" s="1" t="s">
        <v>45</v>
      </c>
      <c r="AA42" s="24">
        <f t="shared" si="2"/>
        <v>2.6059143029571517</v>
      </c>
    </row>
    <row r="43" spans="1:27" x14ac:dyDescent="0.3">
      <c r="A43" t="str">
        <f t="shared" si="3"/>
        <v>CE28400</v>
      </c>
      <c r="B43" t="str">
        <f t="shared" si="4"/>
        <v>PE28400</v>
      </c>
      <c r="C43" t="s">
        <v>45</v>
      </c>
      <c r="D43" s="1">
        <v>50420</v>
      </c>
      <c r="E43" s="1">
        <v>14580</v>
      </c>
      <c r="F43" s="1">
        <v>95288</v>
      </c>
      <c r="G43" s="1">
        <v>21.23</v>
      </c>
      <c r="H43" s="1">
        <v>728</v>
      </c>
      <c r="I43" s="1">
        <v>719.3</v>
      </c>
      <c r="J43" s="1">
        <v>20</v>
      </c>
      <c r="K43" s="1">
        <v>694.7</v>
      </c>
      <c r="L43" s="1">
        <v>804.05</v>
      </c>
      <c r="M43" s="1">
        <v>20</v>
      </c>
      <c r="N43" s="1">
        <v>28400</v>
      </c>
      <c r="O43" s="1">
        <v>80</v>
      </c>
      <c r="P43" s="1">
        <v>120.9</v>
      </c>
      <c r="Q43" s="1">
        <v>123.05</v>
      </c>
      <c r="R43" s="1">
        <v>180</v>
      </c>
      <c r="S43" s="1">
        <v>-1565.5</v>
      </c>
      <c r="T43" s="1">
        <v>120.9</v>
      </c>
      <c r="U43" s="1">
        <v>23.34</v>
      </c>
      <c r="V43" s="1">
        <v>74396</v>
      </c>
      <c r="W43" s="1">
        <v>70400</v>
      </c>
      <c r="X43" s="1">
        <v>70640</v>
      </c>
      <c r="Y43" s="1" t="s">
        <v>45</v>
      </c>
      <c r="AA43" s="24">
        <f t="shared" si="2"/>
        <v>1.4010313367711225</v>
      </c>
    </row>
    <row r="44" spans="1:27" x14ac:dyDescent="0.3">
      <c r="A44" t="str">
        <f t="shared" si="3"/>
        <v>CE28500</v>
      </c>
      <c r="B44" t="str">
        <f t="shared" si="4"/>
        <v>PE28500</v>
      </c>
      <c r="C44" t="s">
        <v>45</v>
      </c>
      <c r="D44" s="1">
        <v>374900</v>
      </c>
      <c r="E44" s="1">
        <v>-55680</v>
      </c>
      <c r="F44" s="1">
        <v>408442</v>
      </c>
      <c r="G44" s="1">
        <v>22.09</v>
      </c>
      <c r="H44" s="1">
        <v>650</v>
      </c>
      <c r="I44" s="1">
        <v>642.20000000000005</v>
      </c>
      <c r="J44" s="1">
        <v>20</v>
      </c>
      <c r="K44" s="1">
        <v>640.4</v>
      </c>
      <c r="L44" s="1">
        <v>650</v>
      </c>
      <c r="M44" s="1">
        <v>80</v>
      </c>
      <c r="N44" s="1">
        <v>28500</v>
      </c>
      <c r="O44" s="1">
        <v>160</v>
      </c>
      <c r="P44" s="1">
        <v>146.05000000000001</v>
      </c>
      <c r="Q44" s="1">
        <v>150</v>
      </c>
      <c r="R44" s="1">
        <v>220</v>
      </c>
      <c r="S44" s="1">
        <v>-1574.9</v>
      </c>
      <c r="T44" s="1">
        <v>146.05000000000001</v>
      </c>
      <c r="U44" s="1">
        <v>23.42</v>
      </c>
      <c r="V44" s="1">
        <v>308735</v>
      </c>
      <c r="W44" s="1">
        <v>489580</v>
      </c>
      <c r="X44" s="1">
        <v>507080</v>
      </c>
      <c r="Y44" s="1" t="s">
        <v>45</v>
      </c>
      <c r="AA44" s="24">
        <f t="shared" si="2"/>
        <v>1.3525740197385969</v>
      </c>
    </row>
    <row r="45" spans="1:27" x14ac:dyDescent="0.3">
      <c r="A45" t="str">
        <f t="shared" si="3"/>
        <v>CE28600</v>
      </c>
      <c r="B45" t="str">
        <f t="shared" si="4"/>
        <v>PE28600</v>
      </c>
      <c r="C45" t="s">
        <v>45</v>
      </c>
      <c r="D45" s="1">
        <v>28020</v>
      </c>
      <c r="E45" s="1">
        <v>-4960</v>
      </c>
      <c r="F45" s="1">
        <v>109737</v>
      </c>
      <c r="G45" s="1">
        <v>21.97</v>
      </c>
      <c r="H45" s="1">
        <v>572.29999999999995</v>
      </c>
      <c r="I45" s="1">
        <v>565.75</v>
      </c>
      <c r="J45" s="1">
        <v>20</v>
      </c>
      <c r="K45" s="1">
        <v>568.1</v>
      </c>
      <c r="L45" s="1">
        <v>613.4</v>
      </c>
      <c r="M45" s="1">
        <v>20</v>
      </c>
      <c r="N45" s="1">
        <v>28600</v>
      </c>
      <c r="O45" s="1">
        <v>20</v>
      </c>
      <c r="P45" s="1">
        <v>176</v>
      </c>
      <c r="Q45" s="1">
        <v>185</v>
      </c>
      <c r="R45" s="1">
        <v>2000</v>
      </c>
      <c r="S45" s="1">
        <v>-1620</v>
      </c>
      <c r="T45" s="1">
        <v>180</v>
      </c>
      <c r="U45" s="1">
        <v>23.23</v>
      </c>
      <c r="V45" s="1">
        <v>74793</v>
      </c>
      <c r="W45" s="1">
        <v>58960</v>
      </c>
      <c r="X45" s="1">
        <v>59600</v>
      </c>
      <c r="Y45" s="1" t="s">
        <v>45</v>
      </c>
      <c r="AA45" s="24">
        <f t="shared" si="2"/>
        <v>2.1270521056388296</v>
      </c>
    </row>
    <row r="46" spans="1:27" x14ac:dyDescent="0.3">
      <c r="A46" t="str">
        <f t="shared" si="3"/>
        <v>CE28700</v>
      </c>
      <c r="B46" t="str">
        <f t="shared" si="4"/>
        <v>PE28700</v>
      </c>
      <c r="C46" t="s">
        <v>45</v>
      </c>
      <c r="D46" s="1">
        <v>36240</v>
      </c>
      <c r="E46" s="1">
        <v>3820</v>
      </c>
      <c r="F46" s="1">
        <v>111493</v>
      </c>
      <c r="G46" s="1">
        <v>22.41</v>
      </c>
      <c r="H46" s="1">
        <v>508.8</v>
      </c>
      <c r="I46" s="1">
        <v>503.85</v>
      </c>
      <c r="J46" s="1">
        <v>120</v>
      </c>
      <c r="K46" s="1">
        <v>510.65</v>
      </c>
      <c r="L46" s="1">
        <v>534.65</v>
      </c>
      <c r="M46" s="1">
        <v>20</v>
      </c>
      <c r="N46" s="1">
        <v>28700</v>
      </c>
      <c r="O46" s="1">
        <v>40</v>
      </c>
      <c r="P46" s="1">
        <v>205.1</v>
      </c>
      <c r="Q46" s="1">
        <v>215.6</v>
      </c>
      <c r="R46" s="1">
        <v>20</v>
      </c>
      <c r="S46" s="1">
        <v>-635</v>
      </c>
      <c r="T46" s="1">
        <v>215</v>
      </c>
      <c r="U46" s="1">
        <v>23.58</v>
      </c>
      <c r="V46" s="1">
        <v>54219</v>
      </c>
      <c r="W46" s="1">
        <v>52060</v>
      </c>
      <c r="X46" s="1">
        <v>52400</v>
      </c>
      <c r="Y46" s="1" t="s">
        <v>45</v>
      </c>
      <c r="AA46" s="24">
        <f t="shared" si="2"/>
        <v>1.445916114790287</v>
      </c>
    </row>
    <row r="47" spans="1:27" x14ac:dyDescent="0.3">
      <c r="A47" t="str">
        <f t="shared" si="3"/>
        <v>CE28800</v>
      </c>
      <c r="B47" t="str">
        <f t="shared" si="4"/>
        <v>PE28800</v>
      </c>
      <c r="C47" t="s">
        <v>45</v>
      </c>
      <c r="D47" s="1">
        <v>70460</v>
      </c>
      <c r="E47" s="1">
        <v>40480</v>
      </c>
      <c r="F47" s="1">
        <v>144655</v>
      </c>
      <c r="G47" s="1">
        <v>22.96</v>
      </c>
      <c r="H47" s="1">
        <v>428.1</v>
      </c>
      <c r="I47" s="1">
        <v>423.35</v>
      </c>
      <c r="J47" s="1">
        <v>20</v>
      </c>
      <c r="K47" s="1">
        <v>423</v>
      </c>
      <c r="L47" s="1">
        <v>505.2</v>
      </c>
      <c r="M47" s="1">
        <v>20</v>
      </c>
      <c r="N47" s="1">
        <v>28800</v>
      </c>
      <c r="O47" s="1">
        <v>20</v>
      </c>
      <c r="P47" s="1">
        <v>249.35</v>
      </c>
      <c r="Q47" s="1">
        <v>265.8</v>
      </c>
      <c r="R47" s="1">
        <v>20</v>
      </c>
      <c r="S47" s="1">
        <v>-1229.95</v>
      </c>
      <c r="T47" s="1">
        <v>249.4</v>
      </c>
      <c r="U47" s="1">
        <v>24.05</v>
      </c>
      <c r="V47" s="1">
        <v>57707</v>
      </c>
      <c r="W47" s="1">
        <v>60720</v>
      </c>
      <c r="X47" s="1">
        <v>61100</v>
      </c>
      <c r="Y47" s="1" t="s">
        <v>45</v>
      </c>
      <c r="AA47" s="24">
        <f t="shared" si="2"/>
        <v>0.86715867158671589</v>
      </c>
    </row>
    <row r="48" spans="1:27" x14ac:dyDescent="0.3">
      <c r="A48" t="str">
        <f t="shared" si="3"/>
        <v>CE28900</v>
      </c>
      <c r="B48" t="str">
        <f t="shared" si="4"/>
        <v>PE28900</v>
      </c>
      <c r="C48" t="s">
        <v>45</v>
      </c>
      <c r="D48" s="1">
        <v>59240</v>
      </c>
      <c r="E48" s="1">
        <v>51100</v>
      </c>
      <c r="F48" s="1">
        <v>137048</v>
      </c>
      <c r="G48" s="1">
        <v>23.14</v>
      </c>
      <c r="H48" s="1">
        <v>400</v>
      </c>
      <c r="I48" s="1">
        <v>395.6</v>
      </c>
      <c r="J48" s="1">
        <v>20</v>
      </c>
      <c r="K48" s="1">
        <v>407</v>
      </c>
      <c r="L48" s="1">
        <v>418.95</v>
      </c>
      <c r="M48" s="1">
        <v>20</v>
      </c>
      <c r="N48" s="1">
        <v>28900</v>
      </c>
      <c r="O48" s="1">
        <v>20</v>
      </c>
      <c r="P48" s="1">
        <v>291</v>
      </c>
      <c r="Q48" s="1">
        <v>303</v>
      </c>
      <c r="R48" s="1">
        <v>20</v>
      </c>
      <c r="S48" s="1">
        <v>-1763.15</v>
      </c>
      <c r="T48" s="1">
        <v>298.95</v>
      </c>
      <c r="U48" s="1">
        <v>24.14</v>
      </c>
      <c r="V48" s="1">
        <v>43460</v>
      </c>
      <c r="W48" s="1">
        <v>50220</v>
      </c>
      <c r="X48" s="1">
        <v>50360</v>
      </c>
      <c r="Y48" s="1" t="s">
        <v>45</v>
      </c>
      <c r="AA48" s="24">
        <f t="shared" si="2"/>
        <v>0.85010128291694798</v>
      </c>
    </row>
    <row r="49" spans="1:27" x14ac:dyDescent="0.3">
      <c r="A49" t="str">
        <f t="shared" si="3"/>
        <v>CE29000</v>
      </c>
      <c r="B49" t="str">
        <f t="shared" si="4"/>
        <v>PE29000</v>
      </c>
      <c r="C49" t="s">
        <v>45</v>
      </c>
      <c r="D49" s="1">
        <v>377780</v>
      </c>
      <c r="E49" s="1">
        <v>54900</v>
      </c>
      <c r="F49" s="1">
        <v>652066</v>
      </c>
      <c r="G49" s="1">
        <v>23.13</v>
      </c>
      <c r="H49" s="1">
        <v>350.1</v>
      </c>
      <c r="I49" s="1">
        <v>345.75</v>
      </c>
      <c r="J49" s="1">
        <v>80</v>
      </c>
      <c r="K49" s="1">
        <v>350.05</v>
      </c>
      <c r="L49" s="1">
        <v>363.9</v>
      </c>
      <c r="M49" s="1">
        <v>20</v>
      </c>
      <c r="N49" s="1">
        <v>29000</v>
      </c>
      <c r="O49" s="1">
        <v>60</v>
      </c>
      <c r="P49" s="1">
        <v>347.4</v>
      </c>
      <c r="Q49" s="1">
        <v>348</v>
      </c>
      <c r="R49" s="1">
        <v>20</v>
      </c>
      <c r="S49" s="1">
        <v>-1849.7</v>
      </c>
      <c r="T49" s="1">
        <v>349.9</v>
      </c>
      <c r="U49" s="1">
        <v>24.07</v>
      </c>
      <c r="V49" s="1">
        <v>128661</v>
      </c>
      <c r="W49" s="1">
        <v>182820</v>
      </c>
      <c r="X49" s="1">
        <v>286260</v>
      </c>
      <c r="Y49" s="1" t="s">
        <v>45</v>
      </c>
      <c r="AA49" s="24">
        <f t="shared" si="2"/>
        <v>0.75774260151410877</v>
      </c>
    </row>
    <row r="50" spans="1:27" x14ac:dyDescent="0.3">
      <c r="A50" t="str">
        <f t="shared" si="3"/>
        <v>CE29100</v>
      </c>
      <c r="B50" t="str">
        <f t="shared" si="4"/>
        <v>PE29100</v>
      </c>
      <c r="C50" t="s">
        <v>45</v>
      </c>
      <c r="D50" s="1">
        <v>48660</v>
      </c>
      <c r="E50" s="1">
        <v>42520</v>
      </c>
      <c r="F50" s="1">
        <v>128960</v>
      </c>
      <c r="G50" s="1">
        <v>23.67</v>
      </c>
      <c r="H50" s="1">
        <v>306.05</v>
      </c>
      <c r="I50" s="1">
        <v>302.45</v>
      </c>
      <c r="J50" s="1">
        <v>20</v>
      </c>
      <c r="K50" s="1">
        <v>306.14999999999998</v>
      </c>
      <c r="L50" s="1">
        <v>323.5</v>
      </c>
      <c r="M50" s="1">
        <v>20</v>
      </c>
      <c r="N50" s="1">
        <v>29100</v>
      </c>
      <c r="O50" s="1">
        <v>20</v>
      </c>
      <c r="P50" s="1">
        <v>379.4</v>
      </c>
      <c r="Q50" s="1">
        <v>409.95</v>
      </c>
      <c r="R50" s="1">
        <v>40</v>
      </c>
      <c r="S50" s="1">
        <v>-787.6</v>
      </c>
      <c r="T50" s="1">
        <v>412.4</v>
      </c>
      <c r="U50" s="1">
        <v>24.23</v>
      </c>
      <c r="V50" s="1">
        <v>18713</v>
      </c>
      <c r="W50" s="1">
        <v>28400</v>
      </c>
      <c r="X50" s="1">
        <v>28440</v>
      </c>
      <c r="Y50" s="1" t="s">
        <v>45</v>
      </c>
      <c r="AA50" s="24">
        <f t="shared" si="2"/>
        <v>0.58446362515413075</v>
      </c>
    </row>
    <row r="51" spans="1:27" x14ac:dyDescent="0.3">
      <c r="A51" t="str">
        <f t="shared" si="3"/>
        <v>CE29200</v>
      </c>
      <c r="B51" t="str">
        <f t="shared" si="4"/>
        <v>PE29200</v>
      </c>
      <c r="C51" t="s">
        <v>45</v>
      </c>
      <c r="D51" s="1">
        <v>71440</v>
      </c>
      <c r="E51" s="1">
        <v>53820</v>
      </c>
      <c r="F51" s="1">
        <v>169758</v>
      </c>
      <c r="G51" s="1">
        <v>24.15</v>
      </c>
      <c r="H51" s="1">
        <v>268.7</v>
      </c>
      <c r="I51" s="1">
        <v>264.7</v>
      </c>
      <c r="J51" s="1">
        <v>2000</v>
      </c>
      <c r="K51" s="1">
        <v>271</v>
      </c>
      <c r="L51" s="1">
        <v>276</v>
      </c>
      <c r="M51" s="1">
        <v>80</v>
      </c>
      <c r="N51" s="1">
        <v>29200</v>
      </c>
      <c r="O51" s="1">
        <v>300</v>
      </c>
      <c r="P51" s="1">
        <v>460</v>
      </c>
      <c r="Q51" s="1">
        <v>479.95</v>
      </c>
      <c r="R51" s="1">
        <v>60</v>
      </c>
      <c r="S51" s="1">
        <v>-1969.1</v>
      </c>
      <c r="T51" s="1">
        <v>455</v>
      </c>
      <c r="U51" s="1">
        <v>24.71</v>
      </c>
      <c r="V51" s="1">
        <v>13927</v>
      </c>
      <c r="W51" s="1">
        <v>22020</v>
      </c>
      <c r="X51" s="1">
        <v>23400</v>
      </c>
      <c r="Y51" s="1" t="s">
        <v>45</v>
      </c>
      <c r="AA51" s="24">
        <f t="shared" si="2"/>
        <v>0.32754759238521836</v>
      </c>
    </row>
    <row r="52" spans="1:27" x14ac:dyDescent="0.3">
      <c r="A52" t="str">
        <f t="shared" si="3"/>
        <v>CE29300</v>
      </c>
      <c r="B52" t="str">
        <f t="shared" si="4"/>
        <v>PE29300</v>
      </c>
      <c r="C52" t="s">
        <v>45</v>
      </c>
      <c r="D52" s="1">
        <v>95600</v>
      </c>
      <c r="E52" s="1">
        <v>94540</v>
      </c>
      <c r="F52" s="1">
        <v>119173</v>
      </c>
      <c r="G52" s="1">
        <v>24.58</v>
      </c>
      <c r="H52" s="1">
        <v>241</v>
      </c>
      <c r="I52" s="1">
        <v>237.3</v>
      </c>
      <c r="J52" s="1">
        <v>180</v>
      </c>
      <c r="K52" s="1">
        <v>236.5</v>
      </c>
      <c r="L52" s="1">
        <v>244</v>
      </c>
      <c r="M52" s="1">
        <v>100</v>
      </c>
      <c r="N52" s="1">
        <v>29300</v>
      </c>
      <c r="O52" s="1">
        <v>20</v>
      </c>
      <c r="P52" s="1">
        <v>513.4</v>
      </c>
      <c r="Q52" s="1">
        <v>560</v>
      </c>
      <c r="R52" s="1">
        <v>20</v>
      </c>
      <c r="S52" s="1">
        <v>18.399999999999999</v>
      </c>
      <c r="T52" s="1">
        <v>528.85</v>
      </c>
      <c r="U52" s="1">
        <v>25.61</v>
      </c>
      <c r="V52" s="1">
        <v>6670</v>
      </c>
      <c r="W52" s="1">
        <v>15920</v>
      </c>
      <c r="X52" s="1">
        <v>15920</v>
      </c>
      <c r="Y52" s="1" t="s">
        <v>45</v>
      </c>
      <c r="AA52" s="24">
        <f t="shared" si="2"/>
        <v>0.16652719665271967</v>
      </c>
    </row>
    <row r="53" spans="1:27" x14ac:dyDescent="0.3">
      <c r="A53" t="str">
        <f t="shared" ref="A53:A65" si="5">"CE"&amp;N53</f>
        <v>CE29400</v>
      </c>
      <c r="B53" t="str">
        <f t="shared" ref="B53:B65" si="6">"PE"&amp;N53</f>
        <v>PE29400</v>
      </c>
      <c r="C53" t="s">
        <v>45</v>
      </c>
      <c r="D53" s="1">
        <v>80060</v>
      </c>
      <c r="E53" s="1">
        <v>77040</v>
      </c>
      <c r="F53" s="1">
        <v>139228</v>
      </c>
      <c r="G53" s="1">
        <v>25.02</v>
      </c>
      <c r="H53" s="1">
        <v>243</v>
      </c>
      <c r="I53" s="1">
        <v>239.7</v>
      </c>
      <c r="J53" s="1">
        <v>20</v>
      </c>
      <c r="K53" s="1">
        <v>205.6</v>
      </c>
      <c r="L53" s="1">
        <v>243</v>
      </c>
      <c r="M53" s="1">
        <v>80</v>
      </c>
      <c r="N53" s="1">
        <v>29400</v>
      </c>
      <c r="O53" s="1">
        <v>200</v>
      </c>
      <c r="P53" s="1">
        <v>505.35</v>
      </c>
      <c r="Q53" s="1">
        <v>646</v>
      </c>
      <c r="R53" s="1">
        <v>20</v>
      </c>
      <c r="S53" s="1">
        <v>-1036.05</v>
      </c>
      <c r="T53" s="1">
        <v>639.29999999999995</v>
      </c>
      <c r="U53" s="1">
        <v>26.17</v>
      </c>
      <c r="V53" s="1">
        <v>3109</v>
      </c>
      <c r="W53" s="1">
        <v>9940</v>
      </c>
      <c r="X53" s="1">
        <v>9980</v>
      </c>
      <c r="Y53" s="1" t="s">
        <v>45</v>
      </c>
      <c r="AA53" s="24">
        <f t="shared" si="2"/>
        <v>0.12465650761928554</v>
      </c>
    </row>
    <row r="54" spans="1:27" x14ac:dyDescent="0.3">
      <c r="A54" t="str">
        <f t="shared" si="5"/>
        <v>CE29500</v>
      </c>
      <c r="B54" t="str">
        <f t="shared" si="6"/>
        <v>PE29500</v>
      </c>
      <c r="C54" t="s">
        <v>45</v>
      </c>
      <c r="D54" s="1">
        <v>436300</v>
      </c>
      <c r="E54" s="1">
        <v>254280</v>
      </c>
      <c r="F54" s="1">
        <v>595199</v>
      </c>
      <c r="G54" s="1">
        <v>25.27</v>
      </c>
      <c r="H54" s="1">
        <v>182</v>
      </c>
      <c r="I54" s="1">
        <v>179.7</v>
      </c>
      <c r="J54" s="1">
        <v>20</v>
      </c>
      <c r="K54" s="1">
        <v>180.05</v>
      </c>
      <c r="L54" s="1">
        <v>182</v>
      </c>
      <c r="M54" s="1">
        <v>380</v>
      </c>
      <c r="N54" s="1">
        <v>29500</v>
      </c>
      <c r="O54" s="1">
        <v>20</v>
      </c>
      <c r="P54" s="1">
        <v>666.9</v>
      </c>
      <c r="Q54" s="1">
        <v>684.35</v>
      </c>
      <c r="R54" s="1">
        <v>20</v>
      </c>
      <c r="S54" s="1">
        <v>-2056.4499999999998</v>
      </c>
      <c r="T54" s="1">
        <v>669</v>
      </c>
      <c r="U54" s="1">
        <v>25.52</v>
      </c>
      <c r="V54" s="1">
        <v>18623</v>
      </c>
      <c r="W54" s="1">
        <v>-103380</v>
      </c>
      <c r="X54" s="1">
        <v>140820</v>
      </c>
      <c r="Y54" s="1" t="s">
        <v>45</v>
      </c>
      <c r="AA54" s="24">
        <f t="shared" si="2"/>
        <v>0.32275956910382764</v>
      </c>
    </row>
    <row r="55" spans="1:27" x14ac:dyDescent="0.3">
      <c r="A55" t="str">
        <f t="shared" si="5"/>
        <v>CE29600</v>
      </c>
      <c r="B55" t="str">
        <f t="shared" si="6"/>
        <v>PE29600</v>
      </c>
      <c r="C55" t="s">
        <v>45</v>
      </c>
      <c r="D55" s="1">
        <v>64940</v>
      </c>
      <c r="E55" s="1">
        <v>64360</v>
      </c>
      <c r="F55" s="1">
        <v>135413</v>
      </c>
      <c r="G55" s="1">
        <v>25.29</v>
      </c>
      <c r="H55" s="1">
        <v>157.9</v>
      </c>
      <c r="I55" s="1">
        <v>156.35</v>
      </c>
      <c r="J55" s="1">
        <v>20</v>
      </c>
      <c r="K55" s="1">
        <v>156.30000000000001</v>
      </c>
      <c r="L55" s="1">
        <v>157.9</v>
      </c>
      <c r="M55" s="1">
        <v>120</v>
      </c>
      <c r="N55" s="1">
        <v>29600</v>
      </c>
      <c r="O55" s="1">
        <v>420</v>
      </c>
      <c r="P55" s="1">
        <v>560.15</v>
      </c>
      <c r="Q55" s="1">
        <v>785.45</v>
      </c>
      <c r="R55" s="1">
        <v>20</v>
      </c>
      <c r="S55" s="1">
        <v>363.6</v>
      </c>
      <c r="T55" s="1">
        <v>785</v>
      </c>
      <c r="U55" s="1">
        <v>28.15</v>
      </c>
      <c r="V55" s="1">
        <v>182</v>
      </c>
      <c r="W55" s="1">
        <v>1420</v>
      </c>
      <c r="X55" s="1">
        <v>1420</v>
      </c>
      <c r="Y55" s="1" t="s">
        <v>45</v>
      </c>
      <c r="AA55" s="24">
        <f t="shared" si="2"/>
        <v>2.1866338158299969E-2</v>
      </c>
    </row>
    <row r="56" spans="1:27" x14ac:dyDescent="0.3">
      <c r="A56" t="str">
        <f t="shared" si="5"/>
        <v>CE29700</v>
      </c>
      <c r="B56" t="str">
        <f t="shared" si="6"/>
        <v>PE29700</v>
      </c>
      <c r="C56" t="s">
        <v>45</v>
      </c>
      <c r="D56" s="1">
        <v>46920</v>
      </c>
      <c r="E56" s="1">
        <v>46920</v>
      </c>
      <c r="F56" s="1">
        <v>44961</v>
      </c>
      <c r="G56" s="1">
        <v>25.87</v>
      </c>
      <c r="H56" s="1">
        <v>136</v>
      </c>
      <c r="I56" s="1">
        <v>-2371.5500000000002</v>
      </c>
      <c r="J56" s="1">
        <v>160</v>
      </c>
      <c r="K56" s="1">
        <v>136</v>
      </c>
      <c r="L56" s="1">
        <v>140</v>
      </c>
      <c r="M56" s="1">
        <v>220</v>
      </c>
      <c r="N56" s="1">
        <v>29700</v>
      </c>
      <c r="O56" s="1">
        <v>60</v>
      </c>
      <c r="P56" s="1">
        <v>800</v>
      </c>
      <c r="Q56" s="1">
        <v>920.1</v>
      </c>
      <c r="R56" s="1">
        <v>200</v>
      </c>
      <c r="S56" s="1">
        <v>399.3</v>
      </c>
      <c r="T56" s="1">
        <v>841</v>
      </c>
      <c r="U56" s="1">
        <v>26.69</v>
      </c>
      <c r="V56" s="1">
        <v>24</v>
      </c>
      <c r="W56" s="1">
        <v>280</v>
      </c>
      <c r="X56" s="1">
        <v>280</v>
      </c>
      <c r="Y56" s="1" t="s">
        <v>45</v>
      </c>
      <c r="AA56" s="24">
        <f t="shared" si="2"/>
        <v>5.9676044330775786E-3</v>
      </c>
    </row>
    <row r="57" spans="1:27" x14ac:dyDescent="0.3">
      <c r="A57" t="str">
        <f t="shared" si="5"/>
        <v>CE29800</v>
      </c>
      <c r="B57" t="str">
        <f t="shared" si="6"/>
        <v>PE29800</v>
      </c>
      <c r="C57" t="s">
        <v>45</v>
      </c>
      <c r="D57" s="1">
        <v>38120</v>
      </c>
      <c r="E57" s="1">
        <v>37520</v>
      </c>
      <c r="F57" s="1">
        <v>61601</v>
      </c>
      <c r="G57" s="1">
        <v>26.14</v>
      </c>
      <c r="H57" s="1">
        <v>113</v>
      </c>
      <c r="I57" s="1">
        <v>112.3</v>
      </c>
      <c r="J57" s="1">
        <v>20</v>
      </c>
      <c r="K57" s="1">
        <v>113</v>
      </c>
      <c r="L57" s="1">
        <v>118.5</v>
      </c>
      <c r="M57" s="1">
        <v>40</v>
      </c>
      <c r="N57" s="1">
        <v>29800</v>
      </c>
      <c r="O57" s="1">
        <v>20</v>
      </c>
      <c r="P57" s="1">
        <v>847.1</v>
      </c>
      <c r="Q57" s="1">
        <v>969.65</v>
      </c>
      <c r="R57" s="1">
        <v>20</v>
      </c>
      <c r="S57" s="1">
        <v>-1421</v>
      </c>
      <c r="T57" s="1">
        <v>879</v>
      </c>
      <c r="U57" s="1">
        <v>22.89</v>
      </c>
      <c r="V57" s="1">
        <v>34</v>
      </c>
      <c r="W57" s="1">
        <v>620</v>
      </c>
      <c r="X57" s="1">
        <v>820</v>
      </c>
      <c r="Y57" s="1" t="s">
        <v>45</v>
      </c>
      <c r="AA57" s="24">
        <f t="shared" si="2"/>
        <v>2.1511017838405037E-2</v>
      </c>
    </row>
    <row r="58" spans="1:27" x14ac:dyDescent="0.3">
      <c r="A58" t="str">
        <f t="shared" si="5"/>
        <v>CE29900</v>
      </c>
      <c r="B58" t="str">
        <f t="shared" si="6"/>
        <v>PE29900</v>
      </c>
      <c r="C58" t="s">
        <v>45</v>
      </c>
      <c r="D58" s="1">
        <v>35340</v>
      </c>
      <c r="E58" s="1">
        <v>35340</v>
      </c>
      <c r="F58" s="1">
        <v>36096</v>
      </c>
      <c r="G58" s="1">
        <v>26.22</v>
      </c>
      <c r="H58" s="1">
        <v>90.65</v>
      </c>
      <c r="I58" s="1">
        <v>-2273.6999999999998</v>
      </c>
      <c r="J58" s="1">
        <v>2500</v>
      </c>
      <c r="K58" s="1">
        <v>90.6</v>
      </c>
      <c r="L58" s="1">
        <v>97</v>
      </c>
      <c r="M58" s="1">
        <v>20</v>
      </c>
      <c r="N58" s="1">
        <v>29900</v>
      </c>
      <c r="O58" s="1">
        <v>200</v>
      </c>
      <c r="P58" s="1">
        <v>752.1</v>
      </c>
      <c r="Q58" s="1">
        <v>1048.45</v>
      </c>
      <c r="R58" s="1">
        <v>200</v>
      </c>
      <c r="S58" s="1">
        <v>459.3</v>
      </c>
      <c r="T58" s="1">
        <v>954.45</v>
      </c>
      <c r="U58" s="1">
        <v>21.91</v>
      </c>
      <c r="V58" s="1">
        <v>20</v>
      </c>
      <c r="W58" s="1">
        <v>160</v>
      </c>
      <c r="X58" s="1">
        <v>160</v>
      </c>
      <c r="Y58" s="1" t="s">
        <v>45</v>
      </c>
      <c r="AA58" s="24">
        <f t="shared" si="2"/>
        <v>4.5274476513865311E-3</v>
      </c>
    </row>
    <row r="59" spans="1:27" x14ac:dyDescent="0.3">
      <c r="A59" t="str">
        <f t="shared" si="5"/>
        <v>CE30000</v>
      </c>
      <c r="B59" t="str">
        <f t="shared" si="6"/>
        <v>PE30000</v>
      </c>
      <c r="C59" t="s">
        <v>45</v>
      </c>
      <c r="D59" s="1">
        <v>623140</v>
      </c>
      <c r="E59" s="1">
        <v>553700</v>
      </c>
      <c r="F59" s="1">
        <v>513756</v>
      </c>
      <c r="G59" s="1">
        <v>26.31</v>
      </c>
      <c r="H59" s="1">
        <v>80</v>
      </c>
      <c r="I59" s="1">
        <v>77.5</v>
      </c>
      <c r="J59" s="1">
        <v>220</v>
      </c>
      <c r="K59" s="1">
        <v>80</v>
      </c>
      <c r="L59" s="1">
        <v>80.25</v>
      </c>
      <c r="M59" s="1">
        <v>1620</v>
      </c>
      <c r="N59" s="1">
        <v>30000</v>
      </c>
      <c r="O59" s="1">
        <v>20</v>
      </c>
      <c r="P59" s="1">
        <v>1041.45</v>
      </c>
      <c r="Q59" s="1">
        <v>1076.05</v>
      </c>
      <c r="R59" s="1">
        <v>40</v>
      </c>
      <c r="S59" s="1">
        <v>-2122.9</v>
      </c>
      <c r="T59" s="1">
        <v>1110</v>
      </c>
      <c r="U59" s="1">
        <v>29.6</v>
      </c>
      <c r="V59" s="1">
        <v>1009</v>
      </c>
      <c r="W59" s="1">
        <v>-2220</v>
      </c>
      <c r="X59" s="1">
        <v>14300</v>
      </c>
      <c r="Y59" s="1" t="s">
        <v>45</v>
      </c>
      <c r="AA59" s="24">
        <f t="shared" si="2"/>
        <v>2.2948294123310974E-2</v>
      </c>
    </row>
    <row r="60" spans="1:27" x14ac:dyDescent="0.3">
      <c r="A60" t="str">
        <f t="shared" si="5"/>
        <v>CE30100</v>
      </c>
      <c r="B60" t="str">
        <f t="shared" si="6"/>
        <v>PE30100</v>
      </c>
      <c r="C60" t="s">
        <v>45</v>
      </c>
      <c r="D60" s="1">
        <v>25840</v>
      </c>
      <c r="E60" s="1">
        <v>25820</v>
      </c>
      <c r="F60" s="1">
        <v>30221</v>
      </c>
      <c r="G60" s="1">
        <v>26.7</v>
      </c>
      <c r="H60" s="1">
        <v>70.95</v>
      </c>
      <c r="I60" s="1">
        <v>70.599999999999994</v>
      </c>
      <c r="J60" s="1">
        <v>80</v>
      </c>
      <c r="K60" s="1">
        <v>65</v>
      </c>
      <c r="L60" s="1">
        <v>71</v>
      </c>
      <c r="M60" s="1">
        <v>20</v>
      </c>
      <c r="N60" s="1">
        <v>30100</v>
      </c>
      <c r="O60" s="1" t="s">
        <v>14</v>
      </c>
      <c r="P60" s="1" t="s">
        <v>14</v>
      </c>
      <c r="Q60" s="1">
        <v>1459.55</v>
      </c>
      <c r="R60" s="1">
        <v>2420</v>
      </c>
      <c r="S60" s="1">
        <v>-290</v>
      </c>
      <c r="T60" s="1">
        <v>2600</v>
      </c>
      <c r="U60" s="1">
        <v>133.02000000000001</v>
      </c>
      <c r="V60" s="1">
        <v>1</v>
      </c>
      <c r="W60" s="1" t="s">
        <v>14</v>
      </c>
      <c r="X60" s="1">
        <v>20</v>
      </c>
      <c r="Y60" s="1" t="s">
        <v>45</v>
      </c>
      <c r="AA60" s="24">
        <f t="shared" si="2"/>
        <v>7.7399380804953565E-4</v>
      </c>
    </row>
    <row r="61" spans="1:27" x14ac:dyDescent="0.3">
      <c r="A61" t="str">
        <f t="shared" si="5"/>
        <v>CE30200</v>
      </c>
      <c r="B61" t="str">
        <f t="shared" si="6"/>
        <v>PE30200</v>
      </c>
      <c r="C61" t="s">
        <v>45</v>
      </c>
      <c r="D61" s="1">
        <v>28620</v>
      </c>
      <c r="E61" s="1">
        <v>28620</v>
      </c>
      <c r="F61" s="1">
        <v>22177</v>
      </c>
      <c r="G61" s="1">
        <v>26.92</v>
      </c>
      <c r="H61" s="1">
        <v>62.95</v>
      </c>
      <c r="I61" s="1">
        <v>-2094.1999999999998</v>
      </c>
      <c r="J61" s="1">
        <v>10000</v>
      </c>
      <c r="K61" s="1">
        <v>30</v>
      </c>
      <c r="L61" s="1">
        <v>63</v>
      </c>
      <c r="M61" s="1">
        <v>100</v>
      </c>
      <c r="N61" s="1">
        <v>30200</v>
      </c>
      <c r="O61" s="1">
        <v>200</v>
      </c>
      <c r="P61" s="1">
        <v>1058.3</v>
      </c>
      <c r="Q61" s="1">
        <v>1382.75</v>
      </c>
      <c r="R61" s="1">
        <v>620</v>
      </c>
      <c r="S61" s="1">
        <v>-2182.5500000000002</v>
      </c>
      <c r="T61" s="1">
        <v>1151.45</v>
      </c>
      <c r="U61" s="1" t="s">
        <v>14</v>
      </c>
      <c r="V61" s="1">
        <v>8</v>
      </c>
      <c r="W61" s="1" t="s">
        <v>14</v>
      </c>
      <c r="X61" s="1">
        <v>160</v>
      </c>
      <c r="Y61" s="1" t="s">
        <v>45</v>
      </c>
      <c r="AA61" s="24">
        <f t="shared" si="2"/>
        <v>5.5904961565338921E-3</v>
      </c>
    </row>
    <row r="62" spans="1:27" x14ac:dyDescent="0.3">
      <c r="A62" t="str">
        <f t="shared" si="5"/>
        <v>CE30300</v>
      </c>
      <c r="B62" t="str">
        <f t="shared" si="6"/>
        <v>PE30300</v>
      </c>
      <c r="C62" t="s">
        <v>45</v>
      </c>
      <c r="D62" s="1">
        <v>12600</v>
      </c>
      <c r="E62" s="1">
        <v>12600</v>
      </c>
      <c r="F62" s="1">
        <v>15021</v>
      </c>
      <c r="G62" s="1">
        <v>27.43</v>
      </c>
      <c r="H62" s="1">
        <v>44.55</v>
      </c>
      <c r="I62" s="1">
        <v>-2046.3</v>
      </c>
      <c r="J62" s="1">
        <v>40</v>
      </c>
      <c r="K62" s="1">
        <v>44.65</v>
      </c>
      <c r="L62" s="1">
        <v>53.25</v>
      </c>
      <c r="M62" s="1">
        <v>20</v>
      </c>
      <c r="N62" s="1">
        <v>30300</v>
      </c>
      <c r="O62" s="1" t="s">
        <v>14</v>
      </c>
      <c r="P62" s="1" t="s">
        <v>14</v>
      </c>
      <c r="Q62" s="1">
        <v>1658.7</v>
      </c>
      <c r="R62" s="1">
        <v>2420</v>
      </c>
      <c r="S62" s="1" t="s">
        <v>14</v>
      </c>
      <c r="T62" s="1" t="s">
        <v>14</v>
      </c>
      <c r="U62" s="1" t="s">
        <v>14</v>
      </c>
      <c r="V62" s="1" t="s">
        <v>14</v>
      </c>
      <c r="W62" s="1" t="s">
        <v>14</v>
      </c>
      <c r="X62" s="1" t="s">
        <v>14</v>
      </c>
      <c r="Y62" s="1" t="s">
        <v>45</v>
      </c>
      <c r="AA62" s="24" t="e">
        <f t="shared" si="2"/>
        <v>#VALUE!</v>
      </c>
    </row>
    <row r="63" spans="1:27" x14ac:dyDescent="0.3">
      <c r="A63" t="str">
        <f t="shared" si="5"/>
        <v>CE30400</v>
      </c>
      <c r="B63" t="str">
        <f t="shared" si="6"/>
        <v>PE30400</v>
      </c>
      <c r="C63" t="s">
        <v>45</v>
      </c>
      <c r="D63" s="1">
        <v>18500</v>
      </c>
      <c r="E63" s="1">
        <v>18500</v>
      </c>
      <c r="F63" s="1">
        <v>10367</v>
      </c>
      <c r="G63" s="1">
        <v>27.32</v>
      </c>
      <c r="H63" s="1">
        <v>37</v>
      </c>
      <c r="I63" s="1">
        <v>-1988.7</v>
      </c>
      <c r="J63" s="1">
        <v>80</v>
      </c>
      <c r="K63" s="1">
        <v>37</v>
      </c>
      <c r="L63" s="1">
        <v>55.35</v>
      </c>
      <c r="M63" s="1">
        <v>20</v>
      </c>
      <c r="N63" s="1">
        <v>30400</v>
      </c>
      <c r="O63" s="1" t="s">
        <v>14</v>
      </c>
      <c r="P63" s="1" t="s">
        <v>14</v>
      </c>
      <c r="Q63" s="1">
        <v>1758.15</v>
      </c>
      <c r="R63" s="1">
        <v>2420</v>
      </c>
      <c r="S63" s="1" t="s">
        <v>14</v>
      </c>
      <c r="T63" s="1" t="s">
        <v>14</v>
      </c>
      <c r="U63" s="1" t="s">
        <v>14</v>
      </c>
      <c r="V63" s="1" t="s">
        <v>14</v>
      </c>
      <c r="W63" s="1" t="s">
        <v>14</v>
      </c>
      <c r="X63" s="1">
        <v>140</v>
      </c>
      <c r="Y63" s="1" t="s">
        <v>45</v>
      </c>
      <c r="AA63" s="24">
        <f t="shared" si="2"/>
        <v>7.5675675675675675E-3</v>
      </c>
    </row>
    <row r="64" spans="1:27" x14ac:dyDescent="0.3">
      <c r="A64" t="str">
        <f t="shared" si="5"/>
        <v>CE30500</v>
      </c>
      <c r="B64" t="str">
        <f t="shared" si="6"/>
        <v>PE30500</v>
      </c>
      <c r="C64" t="s">
        <v>45</v>
      </c>
      <c r="D64" s="1">
        <v>237160</v>
      </c>
      <c r="E64" s="1">
        <v>200360</v>
      </c>
      <c r="F64" s="1">
        <v>194466</v>
      </c>
      <c r="G64" s="1">
        <v>27.39</v>
      </c>
      <c r="H64" s="1">
        <v>34.25</v>
      </c>
      <c r="I64" s="1">
        <v>33.35</v>
      </c>
      <c r="J64" s="1">
        <v>60</v>
      </c>
      <c r="K64" s="1">
        <v>35</v>
      </c>
      <c r="L64" s="1">
        <v>37</v>
      </c>
      <c r="M64" s="1">
        <v>100</v>
      </c>
      <c r="N64" s="1">
        <v>30500</v>
      </c>
      <c r="O64" s="1">
        <v>20</v>
      </c>
      <c r="P64" s="1">
        <v>1506.95</v>
      </c>
      <c r="Q64" s="1">
        <v>1561.95</v>
      </c>
      <c r="R64" s="1">
        <v>20</v>
      </c>
      <c r="S64" s="1">
        <v>-2190.0500000000002</v>
      </c>
      <c r="T64" s="1">
        <v>1533.75</v>
      </c>
      <c r="U64" s="1">
        <v>30.78</v>
      </c>
      <c r="V64" s="1">
        <v>732</v>
      </c>
      <c r="W64" s="1">
        <v>-1740</v>
      </c>
      <c r="X64" s="1">
        <v>34020</v>
      </c>
      <c r="Y64" s="1" t="s">
        <v>45</v>
      </c>
      <c r="AA64" s="24" t="e">
        <f>#REF!/#REF!</f>
        <v>#REF!</v>
      </c>
    </row>
    <row r="65" spans="1:27" x14ac:dyDescent="0.3">
      <c r="A65" t="str">
        <f t="shared" si="5"/>
        <v>CE30600</v>
      </c>
      <c r="B65" t="str">
        <f t="shared" si="6"/>
        <v>PE30600</v>
      </c>
      <c r="C65" t="s">
        <v>45</v>
      </c>
      <c r="D65" s="1">
        <v>8440</v>
      </c>
      <c r="E65" s="1">
        <v>8400</v>
      </c>
      <c r="F65" s="1">
        <v>2094</v>
      </c>
      <c r="G65" s="1">
        <v>28.45</v>
      </c>
      <c r="H65" s="1">
        <v>35</v>
      </c>
      <c r="I65" s="1">
        <v>33.950000000000003</v>
      </c>
      <c r="J65" s="1">
        <v>20</v>
      </c>
      <c r="K65" s="1">
        <v>32.5</v>
      </c>
      <c r="L65" s="1">
        <v>36</v>
      </c>
      <c r="M65" s="1">
        <v>80</v>
      </c>
      <c r="N65" s="1">
        <v>30600</v>
      </c>
      <c r="O65" s="1" t="s">
        <v>14</v>
      </c>
      <c r="P65" s="1" t="s">
        <v>14</v>
      </c>
      <c r="Q65" s="1">
        <v>2006.75</v>
      </c>
      <c r="R65" s="1">
        <v>620</v>
      </c>
      <c r="S65" s="1">
        <v>-550</v>
      </c>
      <c r="T65" s="1">
        <v>2150</v>
      </c>
      <c r="U65" s="1">
        <v>77.97</v>
      </c>
      <c r="V65" s="1">
        <v>4</v>
      </c>
      <c r="W65" s="1" t="s">
        <v>14</v>
      </c>
      <c r="X65" s="1">
        <v>140</v>
      </c>
      <c r="Y65" s="1" t="s">
        <v>45</v>
      </c>
      <c r="AA65" s="24" t="e">
        <f>#REF!/#REF!</f>
        <v>#REF!</v>
      </c>
    </row>
    <row r="66" spans="1:27" x14ac:dyDescent="0.3">
      <c r="A66" t="e">
        <f>"CE"&amp;#REF!</f>
        <v>#REF!</v>
      </c>
      <c r="B66" t="e">
        <f>"PE"&amp;#REF!</f>
        <v>#REF!</v>
      </c>
      <c r="C66" t="s">
        <v>45</v>
      </c>
      <c r="D66" s="1">
        <v>6740</v>
      </c>
      <c r="E66" s="1">
        <v>6740</v>
      </c>
      <c r="F66" s="1">
        <v>2667</v>
      </c>
      <c r="G66" s="1">
        <v>28.23</v>
      </c>
      <c r="H66" s="1">
        <v>26.8</v>
      </c>
      <c r="I66" s="1">
        <v>-1810.7</v>
      </c>
      <c r="J66" s="1">
        <v>100</v>
      </c>
      <c r="K66" s="1">
        <v>22.8</v>
      </c>
      <c r="L66" s="1">
        <v>29.3</v>
      </c>
      <c r="M66" s="1">
        <v>20</v>
      </c>
      <c r="N66" s="1">
        <v>30700</v>
      </c>
      <c r="O66" s="1" t="s">
        <v>14</v>
      </c>
      <c r="P66" s="1" t="s">
        <v>14</v>
      </c>
      <c r="Q66" s="1">
        <v>2057.6</v>
      </c>
      <c r="R66" s="1">
        <v>2420</v>
      </c>
      <c r="S66" s="1" t="s">
        <v>14</v>
      </c>
      <c r="T66" s="1" t="s">
        <v>14</v>
      </c>
      <c r="U66" s="1" t="s">
        <v>14</v>
      </c>
      <c r="V66" s="1" t="s">
        <v>14</v>
      </c>
      <c r="W66" s="1" t="s">
        <v>14</v>
      </c>
      <c r="X66" s="1" t="s">
        <v>14</v>
      </c>
      <c r="Y66" s="1" t="s">
        <v>45</v>
      </c>
      <c r="AA66" s="24" t="e">
        <f>#REF!/#REF!</f>
        <v>#REF!</v>
      </c>
    </row>
    <row r="67" spans="1:27" x14ac:dyDescent="0.3">
      <c r="A67" t="e">
        <f>"CE"&amp;#REF!</f>
        <v>#REF!</v>
      </c>
      <c r="B67" t="e">
        <f>"PE"&amp;#REF!</f>
        <v>#REF!</v>
      </c>
      <c r="C67" t="s">
        <v>45</v>
      </c>
      <c r="D67" s="1">
        <v>3200</v>
      </c>
      <c r="E67" s="1">
        <v>3200</v>
      </c>
      <c r="F67" s="1">
        <v>2522</v>
      </c>
      <c r="G67" s="1">
        <v>28.35</v>
      </c>
      <c r="H67" s="1">
        <v>24</v>
      </c>
      <c r="I67" s="1">
        <v>-1753.25</v>
      </c>
      <c r="J67" s="1">
        <v>20</v>
      </c>
      <c r="K67" s="1">
        <v>21.1</v>
      </c>
      <c r="L67" s="1">
        <v>24.55</v>
      </c>
      <c r="M67" s="1">
        <v>40</v>
      </c>
      <c r="N67" s="1">
        <v>30800</v>
      </c>
      <c r="O67" s="1" t="s">
        <v>14</v>
      </c>
      <c r="P67" s="1" t="s">
        <v>14</v>
      </c>
      <c r="Q67" s="1">
        <v>2157.3000000000002</v>
      </c>
      <c r="R67" s="1">
        <v>2420</v>
      </c>
      <c r="S67" s="1" t="s">
        <v>14</v>
      </c>
      <c r="T67" s="1" t="s">
        <v>14</v>
      </c>
      <c r="U67" s="1" t="s">
        <v>14</v>
      </c>
      <c r="V67" s="1" t="s">
        <v>14</v>
      </c>
      <c r="W67" s="1" t="s">
        <v>14</v>
      </c>
      <c r="X67" s="1" t="s">
        <v>14</v>
      </c>
      <c r="Y67" s="1" t="s">
        <v>45</v>
      </c>
      <c r="AA67" s="24" t="e">
        <f>#REF!/#REF!</f>
        <v>#REF!</v>
      </c>
    </row>
    <row r="68" spans="1:27" x14ac:dyDescent="0.3">
      <c r="A68" t="e">
        <f>"CE"&amp;#REF!</f>
        <v>#REF!</v>
      </c>
      <c r="B68" t="e">
        <f>"PE"&amp;#REF!</f>
        <v>#REF!</v>
      </c>
      <c r="C68" t="s">
        <v>45</v>
      </c>
      <c r="D68" s="1">
        <v>1700</v>
      </c>
      <c r="E68" s="1">
        <v>1700</v>
      </c>
      <c r="F68" s="1">
        <v>1644</v>
      </c>
      <c r="G68" s="1">
        <v>29.92</v>
      </c>
      <c r="H68" s="1">
        <v>22.95</v>
      </c>
      <c r="I68" s="1">
        <v>-1695.2</v>
      </c>
      <c r="J68" s="1">
        <v>80</v>
      </c>
      <c r="K68" s="1">
        <v>19</v>
      </c>
      <c r="L68" s="1">
        <v>22.95</v>
      </c>
      <c r="M68" s="1">
        <v>60</v>
      </c>
      <c r="N68" s="1">
        <v>30900</v>
      </c>
      <c r="O68" s="1" t="s">
        <v>14</v>
      </c>
      <c r="P68" s="1" t="s">
        <v>14</v>
      </c>
      <c r="Q68" s="1">
        <v>2257.15</v>
      </c>
      <c r="R68" s="1">
        <v>2420</v>
      </c>
      <c r="S68" s="1" t="s">
        <v>14</v>
      </c>
      <c r="T68" s="1" t="s">
        <v>14</v>
      </c>
      <c r="U68" s="1" t="s">
        <v>14</v>
      </c>
      <c r="V68" s="1" t="s">
        <v>14</v>
      </c>
      <c r="W68" s="1" t="s">
        <v>14</v>
      </c>
      <c r="X68" s="1">
        <v>40</v>
      </c>
      <c r="Y68" s="1" t="s">
        <v>45</v>
      </c>
      <c r="AA68" s="24" t="e">
        <f>#REF!/#REF!</f>
        <v>#REF!</v>
      </c>
    </row>
    <row r="69" spans="1:27" x14ac:dyDescent="0.3">
      <c r="A69" t="e">
        <f>"CE"&amp;#REF!</f>
        <v>#REF!</v>
      </c>
      <c r="B69" t="e">
        <f>"PE"&amp;#REF!</f>
        <v>#REF!</v>
      </c>
      <c r="C69" t="s">
        <v>45</v>
      </c>
      <c r="D69" s="1">
        <v>186320</v>
      </c>
      <c r="E69" s="1">
        <v>159460</v>
      </c>
      <c r="F69" s="1">
        <v>105216</v>
      </c>
      <c r="G69" s="1">
        <v>29.77</v>
      </c>
      <c r="H69" s="1">
        <v>17.5</v>
      </c>
      <c r="I69" s="1">
        <v>16.649999999999999</v>
      </c>
      <c r="J69" s="1">
        <v>560</v>
      </c>
      <c r="K69" s="1">
        <v>17.100000000000001</v>
      </c>
      <c r="L69" s="1">
        <v>18</v>
      </c>
      <c r="M69" s="1">
        <v>60</v>
      </c>
      <c r="N69" s="1">
        <v>31000</v>
      </c>
      <c r="O69" s="1">
        <v>20</v>
      </c>
      <c r="P69" s="1">
        <v>1990.35</v>
      </c>
      <c r="Q69" s="1">
        <v>2130.9499999999998</v>
      </c>
      <c r="R69" s="1">
        <v>100</v>
      </c>
      <c r="S69" s="1">
        <v>-2154.5500000000002</v>
      </c>
      <c r="T69" s="1">
        <v>2020</v>
      </c>
      <c r="U69" s="1">
        <v>35.51</v>
      </c>
      <c r="V69" s="1">
        <v>237</v>
      </c>
      <c r="W69" s="1">
        <v>340</v>
      </c>
      <c r="X69" s="1">
        <v>12800</v>
      </c>
      <c r="Y69" s="1" t="s">
        <v>45</v>
      </c>
      <c r="AA69" s="24" t="e">
        <f>#REF!/#REF!</f>
        <v>#REF!</v>
      </c>
    </row>
    <row r="70" spans="1:27" x14ac:dyDescent="0.3">
      <c r="A70" t="e">
        <f>"CE"&amp;#REF!</f>
        <v>#REF!</v>
      </c>
      <c r="B70" t="e">
        <f>"PE"&amp;#REF!</f>
        <v>#REF!</v>
      </c>
      <c r="C70" t="s">
        <v>45</v>
      </c>
      <c r="D70" s="1" t="s">
        <v>14</v>
      </c>
      <c r="E70" s="1" t="s">
        <v>14</v>
      </c>
      <c r="F70" s="1" t="s">
        <v>14</v>
      </c>
      <c r="G70" s="1" t="s">
        <v>14</v>
      </c>
      <c r="H70" s="1" t="s">
        <v>14</v>
      </c>
      <c r="I70" s="1" t="s">
        <v>14</v>
      </c>
      <c r="J70" s="1">
        <v>2040</v>
      </c>
      <c r="K70" s="1">
        <v>10</v>
      </c>
      <c r="L70" s="1" t="s">
        <v>14</v>
      </c>
      <c r="M70" s="1" t="s">
        <v>14</v>
      </c>
      <c r="N70" s="1">
        <v>31100</v>
      </c>
      <c r="O70" s="1" t="s">
        <v>14</v>
      </c>
      <c r="P70" s="1" t="s">
        <v>14</v>
      </c>
      <c r="Q70" s="1">
        <v>2456.9499999999998</v>
      </c>
      <c r="R70" s="1">
        <v>2420</v>
      </c>
      <c r="S70" s="1" t="s">
        <v>14</v>
      </c>
      <c r="T70" s="1" t="s">
        <v>14</v>
      </c>
      <c r="U70" s="1" t="s">
        <v>14</v>
      </c>
      <c r="V70" s="1" t="s">
        <v>14</v>
      </c>
      <c r="W70" s="1" t="s">
        <v>14</v>
      </c>
      <c r="X70" s="1" t="s">
        <v>14</v>
      </c>
      <c r="Y70" s="1" t="s">
        <v>45</v>
      </c>
      <c r="AA70" s="24" t="e">
        <f>#REF!/#REF!</f>
        <v>#REF!</v>
      </c>
    </row>
    <row r="71" spans="1:27" x14ac:dyDescent="0.3">
      <c r="A71" t="e">
        <f>"CE"&amp;#REF!</f>
        <v>#REF!</v>
      </c>
      <c r="B71" t="e">
        <f>"PE"&amp;#REF!</f>
        <v>#REF!</v>
      </c>
      <c r="C71" t="s">
        <v>45</v>
      </c>
      <c r="D71" s="1" t="s">
        <v>14</v>
      </c>
      <c r="E71" s="1" t="s">
        <v>14</v>
      </c>
      <c r="F71" s="1" t="s">
        <v>14</v>
      </c>
      <c r="G71" s="1" t="s">
        <v>14</v>
      </c>
      <c r="H71" s="1" t="s">
        <v>14</v>
      </c>
      <c r="I71" s="1" t="s">
        <v>14</v>
      </c>
      <c r="J71" s="1">
        <v>1000</v>
      </c>
      <c r="K71" s="1">
        <v>10</v>
      </c>
      <c r="L71" s="1" t="s">
        <v>14</v>
      </c>
      <c r="M71" s="1" t="s">
        <v>14</v>
      </c>
      <c r="N71" s="1">
        <v>31200</v>
      </c>
      <c r="O71" s="1" t="s">
        <v>14</v>
      </c>
      <c r="P71" s="1" t="s">
        <v>14</v>
      </c>
      <c r="Q71" s="1">
        <v>2556.8000000000002</v>
      </c>
      <c r="R71" s="1">
        <v>2420</v>
      </c>
      <c r="S71" s="1" t="s">
        <v>14</v>
      </c>
      <c r="T71" s="1" t="s">
        <v>14</v>
      </c>
      <c r="U71" s="1" t="s">
        <v>14</v>
      </c>
      <c r="V71" s="1" t="s">
        <v>14</v>
      </c>
      <c r="W71" s="1" t="s">
        <v>14</v>
      </c>
      <c r="X71" s="1" t="s">
        <v>14</v>
      </c>
      <c r="Y71" s="1" t="s">
        <v>45</v>
      </c>
      <c r="AA71" s="24" t="e">
        <f>#REF!/#REF!</f>
        <v>#REF!</v>
      </c>
    </row>
    <row r="72" spans="1:27" x14ac:dyDescent="0.3">
      <c r="A72" t="e">
        <f>"CE"&amp;#REF!</f>
        <v>#REF!</v>
      </c>
      <c r="B72" t="e">
        <f>"PE"&amp;#REF!</f>
        <v>#REF!</v>
      </c>
      <c r="C72" t="s">
        <v>45</v>
      </c>
      <c r="D72" s="1" t="s">
        <v>14</v>
      </c>
      <c r="E72" s="1" t="s">
        <v>14</v>
      </c>
      <c r="F72" s="1" t="s">
        <v>14</v>
      </c>
      <c r="G72" s="1" t="s">
        <v>14</v>
      </c>
      <c r="H72" s="1" t="s">
        <v>14</v>
      </c>
      <c r="I72" s="1" t="s">
        <v>14</v>
      </c>
      <c r="J72" s="1">
        <v>3000</v>
      </c>
      <c r="K72" s="1">
        <v>10</v>
      </c>
      <c r="L72" s="1" t="s">
        <v>14</v>
      </c>
      <c r="M72" s="1" t="s">
        <v>14</v>
      </c>
      <c r="N72" s="1">
        <v>31300</v>
      </c>
      <c r="O72" s="1" t="s">
        <v>14</v>
      </c>
      <c r="P72" s="1" t="s">
        <v>14</v>
      </c>
      <c r="Q72" s="1">
        <v>2656.7</v>
      </c>
      <c r="R72" s="1">
        <v>2420</v>
      </c>
      <c r="S72" s="1" t="s">
        <v>14</v>
      </c>
      <c r="T72" s="1" t="s">
        <v>14</v>
      </c>
      <c r="U72" s="1" t="s">
        <v>14</v>
      </c>
      <c r="V72" s="1" t="s">
        <v>14</v>
      </c>
      <c r="W72" s="1" t="s">
        <v>14</v>
      </c>
      <c r="X72" s="1" t="s">
        <v>14</v>
      </c>
      <c r="Y72" s="1" t="s">
        <v>45</v>
      </c>
      <c r="AA72" s="24" t="e">
        <f>#REF!/#REF!</f>
        <v>#REF!</v>
      </c>
    </row>
    <row r="73" spans="1:27" x14ac:dyDescent="0.3">
      <c r="A73" t="e">
        <f>"CE"&amp;#REF!</f>
        <v>#REF!</v>
      </c>
      <c r="B73" t="e">
        <f>"PE"&amp;#REF!</f>
        <v>#REF!</v>
      </c>
      <c r="C73" t="s">
        <v>45</v>
      </c>
      <c r="D73" s="1" t="s">
        <v>14</v>
      </c>
      <c r="E73" s="1" t="s">
        <v>14</v>
      </c>
      <c r="F73" s="1" t="s">
        <v>14</v>
      </c>
      <c r="G73" s="1" t="s">
        <v>14</v>
      </c>
      <c r="H73" s="1" t="s">
        <v>14</v>
      </c>
      <c r="I73" s="1" t="s">
        <v>14</v>
      </c>
      <c r="J73" s="1">
        <v>2000</v>
      </c>
      <c r="K73" s="1">
        <v>10</v>
      </c>
      <c r="L73" s="1" t="s">
        <v>14</v>
      </c>
      <c r="M73" s="1" t="s">
        <v>14</v>
      </c>
      <c r="N73" s="1">
        <v>31400</v>
      </c>
      <c r="O73" s="1" t="s">
        <v>14</v>
      </c>
      <c r="P73" s="1" t="s">
        <v>14</v>
      </c>
      <c r="Q73" s="1">
        <v>2756.6</v>
      </c>
      <c r="R73" s="1">
        <v>2420</v>
      </c>
      <c r="S73" s="1" t="s">
        <v>14</v>
      </c>
      <c r="T73" s="1" t="s">
        <v>14</v>
      </c>
      <c r="U73" s="1" t="s">
        <v>14</v>
      </c>
      <c r="V73" s="1" t="s">
        <v>14</v>
      </c>
      <c r="W73" s="1" t="s">
        <v>14</v>
      </c>
      <c r="X73" s="1">
        <v>80</v>
      </c>
      <c r="Y73" s="1" t="s">
        <v>45</v>
      </c>
      <c r="AA73" s="24" t="e">
        <f>#REF!/#REF!</f>
        <v>#REF!</v>
      </c>
    </row>
    <row r="74" spans="1:27" x14ac:dyDescent="0.3">
      <c r="A74" t="e">
        <f>"CE"&amp;#REF!</f>
        <v>#REF!</v>
      </c>
      <c r="B74" t="e">
        <f>"PE"&amp;#REF!</f>
        <v>#REF!</v>
      </c>
      <c r="C74" t="s">
        <v>45</v>
      </c>
      <c r="D74" s="1">
        <v>78240</v>
      </c>
      <c r="E74" s="1">
        <v>69480</v>
      </c>
      <c r="F74" s="1">
        <v>33613</v>
      </c>
      <c r="G74" s="1">
        <v>31.93</v>
      </c>
      <c r="H74" s="1">
        <v>10</v>
      </c>
      <c r="I74" s="1">
        <v>9.1999999999999993</v>
      </c>
      <c r="J74" s="1">
        <v>1920</v>
      </c>
      <c r="K74" s="1">
        <v>10</v>
      </c>
      <c r="L74" s="1">
        <v>10.35</v>
      </c>
      <c r="M74" s="1">
        <v>20</v>
      </c>
      <c r="N74" s="1">
        <v>31500</v>
      </c>
      <c r="O74" s="1">
        <v>20</v>
      </c>
      <c r="P74" s="1">
        <v>2463.6999999999998</v>
      </c>
      <c r="Q74" s="1">
        <v>2517.9499999999998</v>
      </c>
      <c r="R74" s="1">
        <v>20</v>
      </c>
      <c r="S74" s="1">
        <v>-2275.3000000000002</v>
      </c>
      <c r="T74" s="1">
        <v>2459.6999999999998</v>
      </c>
      <c r="U74" s="1" t="s">
        <v>14</v>
      </c>
      <c r="V74" s="1">
        <v>84</v>
      </c>
      <c r="W74" s="1">
        <v>-860</v>
      </c>
      <c r="X74" s="1">
        <v>9380</v>
      </c>
      <c r="Y74" s="1" t="s">
        <v>45</v>
      </c>
      <c r="AA74" s="24" t="e">
        <f>#REF!/#REF!</f>
        <v>#REF!</v>
      </c>
    </row>
    <row r="75" spans="1:27" x14ac:dyDescent="0.3">
      <c r="A75" t="e">
        <f>"CE"&amp;#REF!</f>
        <v>#REF!</v>
      </c>
      <c r="B75" t="e">
        <f>"PE"&amp;#REF!</f>
        <v>#REF!</v>
      </c>
      <c r="C75" t="s">
        <v>45</v>
      </c>
      <c r="D75" s="1" t="s">
        <v>14</v>
      </c>
      <c r="E75" s="1" t="s">
        <v>14</v>
      </c>
      <c r="F75" s="1">
        <v>1003</v>
      </c>
      <c r="G75" s="1">
        <v>25.71</v>
      </c>
      <c r="H75" s="1">
        <v>1.45</v>
      </c>
      <c r="I75" s="1">
        <v>-1338.15</v>
      </c>
      <c r="J75" s="1">
        <v>1780</v>
      </c>
      <c r="K75" s="1">
        <v>3.1</v>
      </c>
      <c r="L75" s="1" t="s">
        <v>14</v>
      </c>
      <c r="M75" s="1" t="s">
        <v>14</v>
      </c>
      <c r="N75" s="1">
        <v>31600</v>
      </c>
      <c r="O75" s="1" t="s">
        <v>14</v>
      </c>
      <c r="P75" s="1" t="s">
        <v>14</v>
      </c>
      <c r="Q75" s="1">
        <v>2956.35</v>
      </c>
      <c r="R75" s="1">
        <v>2420</v>
      </c>
      <c r="S75" s="1" t="s">
        <v>14</v>
      </c>
      <c r="T75" s="1" t="s">
        <v>14</v>
      </c>
      <c r="U75" s="1" t="s">
        <v>14</v>
      </c>
      <c r="V75" s="1" t="s">
        <v>14</v>
      </c>
      <c r="W75" s="1" t="s">
        <v>14</v>
      </c>
      <c r="X75" s="1" t="s">
        <v>14</v>
      </c>
      <c r="Y75" s="1" t="s">
        <v>45</v>
      </c>
      <c r="AA75" s="24" t="e">
        <f>#REF!/#REF!</f>
        <v>#REF!</v>
      </c>
    </row>
    <row r="76" spans="1:27" x14ac:dyDescent="0.3">
      <c r="A76" t="e">
        <f>"CE"&amp;#REF!</f>
        <v>#REF!</v>
      </c>
      <c r="B76" t="e">
        <f>"PE"&amp;#REF!</f>
        <v>#REF!</v>
      </c>
      <c r="C76" t="s">
        <v>45</v>
      </c>
      <c r="D76" s="1" t="s">
        <v>14</v>
      </c>
      <c r="E76" s="1" t="s">
        <v>14</v>
      </c>
      <c r="F76" s="1" t="s">
        <v>14</v>
      </c>
      <c r="G76" s="1" t="s">
        <v>14</v>
      </c>
      <c r="H76" s="1" t="s">
        <v>14</v>
      </c>
      <c r="I76" s="1" t="s">
        <v>14</v>
      </c>
      <c r="J76" s="1">
        <v>20500</v>
      </c>
      <c r="K76" s="1">
        <v>3.05</v>
      </c>
      <c r="L76" s="1" t="s">
        <v>14</v>
      </c>
      <c r="M76" s="1" t="s">
        <v>14</v>
      </c>
      <c r="N76" s="1">
        <v>31700</v>
      </c>
      <c r="O76" s="1" t="s">
        <v>14</v>
      </c>
      <c r="P76" s="1" t="s">
        <v>14</v>
      </c>
      <c r="Q76" s="1">
        <v>3056.25</v>
      </c>
      <c r="R76" s="1">
        <v>2420</v>
      </c>
      <c r="S76" s="1" t="s">
        <v>14</v>
      </c>
      <c r="T76" s="1" t="s">
        <v>14</v>
      </c>
      <c r="U76" s="1" t="s">
        <v>14</v>
      </c>
      <c r="V76" s="1" t="s">
        <v>14</v>
      </c>
      <c r="W76" s="1" t="s">
        <v>14</v>
      </c>
      <c r="X76" s="1" t="s">
        <v>14</v>
      </c>
      <c r="Y76" s="1" t="s">
        <v>45</v>
      </c>
      <c r="AA76" s="24" t="e">
        <f>#REF!/#REF!</f>
        <v>#REF!</v>
      </c>
    </row>
    <row r="77" spans="1:27" x14ac:dyDescent="0.3">
      <c r="A77" t="e">
        <f>"CE"&amp;#REF!</f>
        <v>#REF!</v>
      </c>
      <c r="B77" t="e">
        <f>"PE"&amp;#REF!</f>
        <v>#REF!</v>
      </c>
      <c r="C77" t="s">
        <v>45</v>
      </c>
      <c r="D77" s="1" t="s">
        <v>14</v>
      </c>
      <c r="E77" s="1" t="s">
        <v>14</v>
      </c>
      <c r="F77" s="1">
        <v>501</v>
      </c>
      <c r="G77" s="1">
        <v>27.49</v>
      </c>
      <c r="H77" s="1">
        <v>1.5</v>
      </c>
      <c r="I77" s="1">
        <v>-1241.05</v>
      </c>
      <c r="J77" s="1">
        <v>12500</v>
      </c>
      <c r="K77" s="1">
        <v>3.05</v>
      </c>
      <c r="L77" s="1" t="s">
        <v>14</v>
      </c>
      <c r="M77" s="1" t="s">
        <v>14</v>
      </c>
      <c r="N77" s="1">
        <v>31800</v>
      </c>
      <c r="O77" s="1" t="s">
        <v>14</v>
      </c>
      <c r="P77" s="1" t="s">
        <v>14</v>
      </c>
      <c r="Q77" s="1">
        <v>3156.15</v>
      </c>
      <c r="R77" s="1">
        <v>2420</v>
      </c>
      <c r="S77" s="1" t="s">
        <v>14</v>
      </c>
      <c r="T77" s="1" t="s">
        <v>14</v>
      </c>
      <c r="U77" s="1" t="s">
        <v>14</v>
      </c>
      <c r="V77" s="1" t="s">
        <v>14</v>
      </c>
      <c r="W77" s="1" t="s">
        <v>14</v>
      </c>
      <c r="X77" s="1" t="s">
        <v>14</v>
      </c>
      <c r="Y77" s="1" t="s">
        <v>45</v>
      </c>
      <c r="AA77" s="24" t="e">
        <f>#REF!/#REF!</f>
        <v>#REF!</v>
      </c>
    </row>
    <row r="78" spans="1:27" x14ac:dyDescent="0.3">
      <c r="A78" t="e">
        <f>"CE"&amp;#REF!</f>
        <v>#REF!</v>
      </c>
      <c r="B78" t="e">
        <f>"PE"&amp;#REF!</f>
        <v>#REF!</v>
      </c>
      <c r="C78" t="s">
        <v>45</v>
      </c>
      <c r="D78" s="1">
        <v>80</v>
      </c>
      <c r="E78" s="1">
        <v>80</v>
      </c>
      <c r="F78" s="1">
        <v>3573</v>
      </c>
      <c r="G78" s="1">
        <v>34.630000000000003</v>
      </c>
      <c r="H78" s="1">
        <v>6.1</v>
      </c>
      <c r="I78" s="1">
        <v>-1189.8499999999999</v>
      </c>
      <c r="J78" s="1">
        <v>60</v>
      </c>
      <c r="K78" s="1">
        <v>6.1</v>
      </c>
      <c r="L78" s="1">
        <v>7.7</v>
      </c>
      <c r="M78" s="1">
        <v>180</v>
      </c>
      <c r="N78" s="1">
        <v>31900</v>
      </c>
      <c r="O78" s="1" t="s">
        <v>14</v>
      </c>
      <c r="P78" s="1" t="s">
        <v>14</v>
      </c>
      <c r="Q78" s="1">
        <v>3256</v>
      </c>
      <c r="R78" s="1">
        <v>2420</v>
      </c>
      <c r="S78" s="1" t="s">
        <v>14</v>
      </c>
      <c r="T78" s="1" t="s">
        <v>14</v>
      </c>
      <c r="U78" s="1" t="s">
        <v>14</v>
      </c>
      <c r="V78" s="1" t="s">
        <v>14</v>
      </c>
      <c r="W78" s="1" t="s">
        <v>14</v>
      </c>
      <c r="X78" s="1" t="s">
        <v>14</v>
      </c>
      <c r="Y78" s="1" t="s">
        <v>45</v>
      </c>
      <c r="AA78" s="24" t="e">
        <f>#REF!/#REF!</f>
        <v>#REF!</v>
      </c>
    </row>
    <row r="79" spans="1:27" x14ac:dyDescent="0.3">
      <c r="A79" t="e">
        <f>"CE"&amp;#REF!</f>
        <v>#REF!</v>
      </c>
      <c r="B79" t="e">
        <f>"PE"&amp;#REF!</f>
        <v>#REF!</v>
      </c>
      <c r="C79" t="s">
        <v>45</v>
      </c>
      <c r="D79" s="1">
        <v>172240</v>
      </c>
      <c r="E79" s="1">
        <v>89080</v>
      </c>
      <c r="F79" s="1">
        <v>31958</v>
      </c>
      <c r="G79" s="1">
        <v>35.56</v>
      </c>
      <c r="H79" s="1">
        <v>8</v>
      </c>
      <c r="I79" s="1">
        <v>4.75</v>
      </c>
      <c r="J79" s="1">
        <v>1440</v>
      </c>
      <c r="K79" s="1">
        <v>8</v>
      </c>
      <c r="L79" s="1">
        <v>8.35</v>
      </c>
      <c r="M79" s="1">
        <v>280</v>
      </c>
      <c r="N79" s="1">
        <v>32000</v>
      </c>
      <c r="O79" s="1">
        <v>20</v>
      </c>
      <c r="P79" s="1">
        <v>2964.7</v>
      </c>
      <c r="Q79" s="1">
        <v>3133.6</v>
      </c>
      <c r="R79" s="1">
        <v>40</v>
      </c>
      <c r="S79" s="1">
        <v>-2170.65</v>
      </c>
      <c r="T79" s="1">
        <v>3032.7</v>
      </c>
      <c r="U79" s="1">
        <v>47.15</v>
      </c>
      <c r="V79" s="1">
        <v>829</v>
      </c>
      <c r="W79" s="1">
        <v>20</v>
      </c>
      <c r="X79" s="1">
        <v>106600</v>
      </c>
      <c r="Y79" s="1" t="s">
        <v>45</v>
      </c>
      <c r="AA79" s="24" t="e">
        <f>#REF!/#REF!</f>
        <v>#REF!</v>
      </c>
    </row>
    <row r="80" spans="1:27" x14ac:dyDescent="0.3">
      <c r="A80" t="e">
        <f>"CE"&amp;#REF!</f>
        <v>#REF!</v>
      </c>
      <c r="B80" t="e">
        <f>"PE"&amp;#REF!</f>
        <v>#REF!</v>
      </c>
      <c r="C80" t="s">
        <v>45</v>
      </c>
      <c r="D80" s="1" t="s">
        <v>14</v>
      </c>
      <c r="E80" s="1" t="s">
        <v>14</v>
      </c>
      <c r="F80" s="1" t="s">
        <v>14</v>
      </c>
      <c r="G80" s="1" t="s">
        <v>14</v>
      </c>
      <c r="H80" s="1" t="s">
        <v>14</v>
      </c>
      <c r="I80" s="1" t="s">
        <v>14</v>
      </c>
      <c r="J80" s="1">
        <v>200</v>
      </c>
      <c r="K80" s="1">
        <v>1.8</v>
      </c>
      <c r="L80" s="1" t="s">
        <v>14</v>
      </c>
      <c r="M80" s="1" t="s">
        <v>14</v>
      </c>
      <c r="N80" s="1">
        <v>32100</v>
      </c>
      <c r="O80" s="1" t="s">
        <v>14</v>
      </c>
      <c r="P80" s="1" t="s">
        <v>14</v>
      </c>
      <c r="Q80" s="1">
        <v>3455.8</v>
      </c>
      <c r="R80" s="1">
        <v>2420</v>
      </c>
      <c r="S80" s="1" t="s">
        <v>14</v>
      </c>
      <c r="T80" s="1" t="s">
        <v>14</v>
      </c>
      <c r="U80" s="1" t="s">
        <v>14</v>
      </c>
      <c r="V80" s="1" t="s">
        <v>14</v>
      </c>
      <c r="W80" s="1" t="s">
        <v>14</v>
      </c>
      <c r="X80" s="1" t="s">
        <v>14</v>
      </c>
      <c r="Y80" s="1" t="s">
        <v>45</v>
      </c>
      <c r="AA80" s="24" t="e">
        <f>#REF!/#REF!</f>
        <v>#REF!</v>
      </c>
    </row>
    <row r="81" spans="1:66" x14ac:dyDescent="0.3">
      <c r="A81" t="e">
        <f>"CE"&amp;#REF!</f>
        <v>#REF!</v>
      </c>
      <c r="B81" t="e">
        <f>"PE"&amp;#REF!</f>
        <v>#REF!</v>
      </c>
      <c r="C81" t="s">
        <v>45</v>
      </c>
      <c r="D81" s="1" t="s">
        <v>14</v>
      </c>
      <c r="E81" s="1" t="s">
        <v>14</v>
      </c>
      <c r="F81" s="1" t="s">
        <v>14</v>
      </c>
      <c r="G81" s="1" t="s">
        <v>14</v>
      </c>
      <c r="H81" s="1" t="s">
        <v>14</v>
      </c>
      <c r="I81" s="1" t="s">
        <v>14</v>
      </c>
      <c r="J81" s="1">
        <v>200</v>
      </c>
      <c r="K81" s="1">
        <v>1.8</v>
      </c>
      <c r="L81" s="1" t="s">
        <v>14</v>
      </c>
      <c r="M81" s="1" t="s">
        <v>14</v>
      </c>
      <c r="N81" s="1">
        <v>32200</v>
      </c>
      <c r="O81" s="1" t="s">
        <v>14</v>
      </c>
      <c r="P81" s="1" t="s">
        <v>14</v>
      </c>
      <c r="Q81" s="1">
        <v>3555.7</v>
      </c>
      <c r="R81" s="1">
        <v>2420</v>
      </c>
      <c r="S81" s="1" t="s">
        <v>14</v>
      </c>
      <c r="T81" s="1" t="s">
        <v>14</v>
      </c>
      <c r="U81" s="1" t="s">
        <v>14</v>
      </c>
      <c r="V81" s="1" t="s">
        <v>14</v>
      </c>
      <c r="W81" s="1" t="s">
        <v>14</v>
      </c>
      <c r="X81" s="1" t="s">
        <v>14</v>
      </c>
      <c r="Y81" s="1" t="s">
        <v>45</v>
      </c>
      <c r="AA81" s="24" t="e">
        <f>#REF!/#REF!</f>
        <v>#REF!</v>
      </c>
    </row>
    <row r="82" spans="1:66" x14ac:dyDescent="0.3">
      <c r="A82" t="e">
        <f>"CE"&amp;#REF!</f>
        <v>#REF!</v>
      </c>
      <c r="B82" t="e">
        <f>"PE"&amp;#REF!</f>
        <v>#REF!</v>
      </c>
      <c r="C82" t="s">
        <v>45</v>
      </c>
      <c r="D82" s="1" t="s">
        <v>14</v>
      </c>
      <c r="E82" s="1" t="s">
        <v>14</v>
      </c>
      <c r="F82" s="1" t="s">
        <v>14</v>
      </c>
      <c r="G82" s="1" t="s">
        <v>14</v>
      </c>
      <c r="H82" s="1" t="s">
        <v>14</v>
      </c>
      <c r="I82" s="1" t="s">
        <v>14</v>
      </c>
      <c r="J82" s="1">
        <v>300</v>
      </c>
      <c r="K82" s="1">
        <v>2.0499999999999998</v>
      </c>
      <c r="L82" s="1" t="s">
        <v>14</v>
      </c>
      <c r="M82" s="1" t="s">
        <v>14</v>
      </c>
      <c r="N82" s="1">
        <v>32300</v>
      </c>
      <c r="O82" s="1" t="s">
        <v>14</v>
      </c>
      <c r="P82" s="1" t="s">
        <v>14</v>
      </c>
      <c r="Q82" s="1">
        <v>3655.55</v>
      </c>
      <c r="R82" s="1">
        <v>2420</v>
      </c>
      <c r="S82" s="1" t="s">
        <v>14</v>
      </c>
      <c r="T82" s="1" t="s">
        <v>14</v>
      </c>
      <c r="U82" s="1" t="s">
        <v>14</v>
      </c>
      <c r="V82" s="1" t="s">
        <v>14</v>
      </c>
      <c r="W82" s="1" t="s">
        <v>14</v>
      </c>
      <c r="X82" s="1" t="s">
        <v>14</v>
      </c>
      <c r="Y82" s="1" t="s">
        <v>45</v>
      </c>
      <c r="AA82" s="24" t="e">
        <f>#REF!/#REF!</f>
        <v>#REF!</v>
      </c>
    </row>
    <row r="83" spans="1:66" x14ac:dyDescent="0.3">
      <c r="A83" t="e">
        <f>"CE"&amp;#REF!</f>
        <v>#REF!</v>
      </c>
      <c r="B83" t="e">
        <f>"PE"&amp;#REF!</f>
        <v>#REF!</v>
      </c>
      <c r="C83" t="s">
        <v>45</v>
      </c>
      <c r="D83" s="1" t="s">
        <v>14</v>
      </c>
      <c r="E83" s="1" t="s">
        <v>14</v>
      </c>
      <c r="F83" s="1" t="s">
        <v>14</v>
      </c>
      <c r="G83" s="1" t="s">
        <v>14</v>
      </c>
      <c r="H83" s="1" t="s">
        <v>14</v>
      </c>
      <c r="I83" s="1" t="s">
        <v>14</v>
      </c>
      <c r="J83" s="1">
        <v>200</v>
      </c>
      <c r="K83" s="1">
        <v>2.25</v>
      </c>
      <c r="L83" s="1" t="s">
        <v>14</v>
      </c>
      <c r="M83" s="1" t="s">
        <v>14</v>
      </c>
      <c r="N83" s="1">
        <v>32400</v>
      </c>
      <c r="O83" s="1" t="s">
        <v>14</v>
      </c>
      <c r="P83" s="1" t="s">
        <v>14</v>
      </c>
      <c r="Q83" s="1">
        <v>3755.45</v>
      </c>
      <c r="R83" s="1">
        <v>2420</v>
      </c>
      <c r="S83" s="1" t="s">
        <v>14</v>
      </c>
      <c r="T83" s="1" t="s">
        <v>14</v>
      </c>
      <c r="U83" s="1" t="s">
        <v>14</v>
      </c>
      <c r="V83" s="1" t="s">
        <v>14</v>
      </c>
      <c r="W83" s="1" t="s">
        <v>14</v>
      </c>
      <c r="X83" s="1" t="s">
        <v>14</v>
      </c>
      <c r="Y83" s="1" t="s">
        <v>45</v>
      </c>
      <c r="AA83" s="24" t="e">
        <f>#REF!/#REF!</f>
        <v>#REF!</v>
      </c>
    </row>
    <row r="84" spans="1:66" x14ac:dyDescent="0.3">
      <c r="A84" t="e">
        <f>"CE"&amp;#REF!</f>
        <v>#REF!</v>
      </c>
      <c r="B84" t="e">
        <f>"PE"&amp;#REF!</f>
        <v>#REF!</v>
      </c>
      <c r="C84" t="s">
        <v>45</v>
      </c>
      <c r="D84" s="1">
        <v>840</v>
      </c>
      <c r="E84" s="1">
        <v>100</v>
      </c>
      <c r="F84" s="1">
        <v>5</v>
      </c>
      <c r="G84" s="1">
        <v>35.380000000000003</v>
      </c>
      <c r="H84" s="1">
        <v>2.7</v>
      </c>
      <c r="I84" s="1">
        <v>-0.1</v>
      </c>
      <c r="J84" s="1">
        <v>2260</v>
      </c>
      <c r="K84" s="1">
        <v>3.45</v>
      </c>
      <c r="L84" s="1" t="s">
        <v>14</v>
      </c>
      <c r="M84" s="1" t="s">
        <v>14</v>
      </c>
      <c r="N84" s="1">
        <v>32500</v>
      </c>
      <c r="O84" s="1">
        <v>20</v>
      </c>
      <c r="P84" s="1">
        <v>3463.7</v>
      </c>
      <c r="Q84" s="1">
        <v>3753.6</v>
      </c>
      <c r="R84" s="1">
        <v>2420</v>
      </c>
      <c r="S84" s="1">
        <v>-1950</v>
      </c>
      <c r="T84" s="1">
        <v>3850</v>
      </c>
      <c r="U84" s="1">
        <v>95.69</v>
      </c>
      <c r="V84" s="1">
        <v>7</v>
      </c>
      <c r="W84" s="1">
        <v>-60</v>
      </c>
      <c r="X84" s="1">
        <v>320</v>
      </c>
      <c r="Y84" s="1" t="s">
        <v>45</v>
      </c>
      <c r="AA84" s="24" t="e">
        <f>#REF!/#REF!</f>
        <v>#REF!</v>
      </c>
    </row>
    <row r="85" spans="1:66" x14ac:dyDescent="0.3">
      <c r="A85" t="e">
        <f>"CE"&amp;#REF!</f>
        <v>#REF!</v>
      </c>
      <c r="B85" t="e">
        <f>"PE"&amp;#REF!</f>
        <v>#REF!</v>
      </c>
      <c r="C85" t="s">
        <v>45</v>
      </c>
      <c r="D85" s="1" t="s">
        <v>14</v>
      </c>
      <c r="E85" s="1" t="s">
        <v>14</v>
      </c>
      <c r="F85" s="1" t="s">
        <v>14</v>
      </c>
      <c r="G85" s="1" t="s">
        <v>14</v>
      </c>
      <c r="H85" s="1" t="s">
        <v>14</v>
      </c>
      <c r="I85" s="1" t="s">
        <v>14</v>
      </c>
      <c r="J85" s="1">
        <v>1000</v>
      </c>
      <c r="K85" s="1">
        <v>3.05</v>
      </c>
      <c r="L85" s="1" t="s">
        <v>14</v>
      </c>
      <c r="M85" s="1" t="s">
        <v>14</v>
      </c>
      <c r="N85" s="1">
        <v>32600</v>
      </c>
      <c r="O85" s="1" t="s">
        <v>14</v>
      </c>
      <c r="P85" s="1" t="s">
        <v>14</v>
      </c>
      <c r="Q85" s="1">
        <v>3955.25</v>
      </c>
      <c r="R85" s="1">
        <v>2420</v>
      </c>
      <c r="S85" s="1" t="s">
        <v>14</v>
      </c>
      <c r="T85" s="1" t="s">
        <v>14</v>
      </c>
      <c r="U85" s="1" t="s">
        <v>14</v>
      </c>
      <c r="V85" s="1" t="s">
        <v>14</v>
      </c>
      <c r="W85" s="1" t="s">
        <v>14</v>
      </c>
      <c r="X85" s="1" t="s">
        <v>14</v>
      </c>
      <c r="Y85" s="1" t="s">
        <v>45</v>
      </c>
      <c r="AA85" s="24" t="e">
        <f>#REF!/#REF!</f>
        <v>#REF!</v>
      </c>
    </row>
    <row r="86" spans="1:66" x14ac:dyDescent="0.3">
      <c r="A86" t="e">
        <f>"CE"&amp;#REF!</f>
        <v>#REF!</v>
      </c>
      <c r="B86" t="e">
        <f>"PE"&amp;#REF!</f>
        <v>#REF!</v>
      </c>
      <c r="C86" t="s">
        <v>45</v>
      </c>
      <c r="D86" s="1" t="s">
        <v>14</v>
      </c>
      <c r="E86" s="1" t="s">
        <v>14</v>
      </c>
      <c r="F86" s="1" t="s">
        <v>14</v>
      </c>
      <c r="G86" s="1" t="s">
        <v>14</v>
      </c>
      <c r="H86" s="1" t="s">
        <v>14</v>
      </c>
      <c r="I86" s="1" t="s">
        <v>14</v>
      </c>
      <c r="J86" s="1">
        <v>1100</v>
      </c>
      <c r="K86" s="1">
        <v>1.75</v>
      </c>
      <c r="L86" s="1" t="s">
        <v>14</v>
      </c>
      <c r="M86" s="1" t="s">
        <v>14</v>
      </c>
      <c r="N86" s="1">
        <v>32700</v>
      </c>
      <c r="O86" s="1" t="s">
        <v>14</v>
      </c>
      <c r="P86" s="1" t="s">
        <v>14</v>
      </c>
      <c r="Q86" s="1">
        <v>4055.1</v>
      </c>
      <c r="R86" s="1">
        <v>2420</v>
      </c>
      <c r="S86" s="1" t="s">
        <v>14</v>
      </c>
      <c r="T86" s="1" t="s">
        <v>14</v>
      </c>
      <c r="U86" s="1" t="s">
        <v>14</v>
      </c>
      <c r="V86" s="1" t="s">
        <v>14</v>
      </c>
      <c r="W86" s="1" t="s">
        <v>14</v>
      </c>
      <c r="X86" s="1" t="s">
        <v>14</v>
      </c>
      <c r="Y86" s="1" t="s">
        <v>45</v>
      </c>
      <c r="AA86" s="24" t="e">
        <f>#REF!/#REF!</f>
        <v>#REF!</v>
      </c>
    </row>
    <row r="87" spans="1:66" x14ac:dyDescent="0.3">
      <c r="A87" t="e">
        <f>"CE"&amp;#REF!</f>
        <v>#REF!</v>
      </c>
      <c r="B87" t="e">
        <f>"PE"&amp;#REF!</f>
        <v>#REF!</v>
      </c>
      <c r="C87" t="s">
        <v>45</v>
      </c>
      <c r="D87" s="1">
        <v>60</v>
      </c>
      <c r="E87" s="1">
        <v>60</v>
      </c>
      <c r="F87" s="1">
        <v>3</v>
      </c>
      <c r="G87" s="1">
        <v>38.340000000000003</v>
      </c>
      <c r="H87" s="1">
        <v>3</v>
      </c>
      <c r="I87" s="1">
        <v>-827.75</v>
      </c>
      <c r="J87" s="1">
        <v>60</v>
      </c>
      <c r="K87" s="1">
        <v>3.8</v>
      </c>
      <c r="L87" s="1" t="s">
        <v>14</v>
      </c>
      <c r="M87" s="1" t="s">
        <v>14</v>
      </c>
      <c r="N87" s="1">
        <v>32800</v>
      </c>
      <c r="O87" s="1" t="s">
        <v>14</v>
      </c>
      <c r="P87" s="1" t="s">
        <v>14</v>
      </c>
      <c r="Q87" s="1">
        <v>4155</v>
      </c>
      <c r="R87" s="1">
        <v>2420</v>
      </c>
      <c r="S87" s="1" t="s">
        <v>14</v>
      </c>
      <c r="T87" s="1" t="s">
        <v>14</v>
      </c>
      <c r="U87" s="1" t="s">
        <v>14</v>
      </c>
      <c r="V87" s="1" t="s">
        <v>14</v>
      </c>
      <c r="W87" s="1" t="s">
        <v>14</v>
      </c>
      <c r="X87" s="1" t="s">
        <v>14</v>
      </c>
      <c r="Y87" s="1" t="s">
        <v>45</v>
      </c>
      <c r="AA87" s="24" t="e">
        <f>#REF!/#REF!</f>
        <v>#REF!</v>
      </c>
    </row>
    <row r="88" spans="1:66" x14ac:dyDescent="0.3">
      <c r="A88" t="e">
        <f>"CE"&amp;#REF!</f>
        <v>#REF!</v>
      </c>
      <c r="B88" t="e">
        <f>"PE"&amp;#REF!</f>
        <v>#REF!</v>
      </c>
      <c r="C88" t="s">
        <v>45</v>
      </c>
      <c r="D88" s="1">
        <v>220</v>
      </c>
      <c r="E88" s="1">
        <v>140</v>
      </c>
      <c r="F88" s="1">
        <v>2369</v>
      </c>
      <c r="G88" s="1">
        <v>42.59</v>
      </c>
      <c r="H88" s="1">
        <v>6</v>
      </c>
      <c r="I88" s="1">
        <v>4.0999999999999996</v>
      </c>
      <c r="J88" s="1">
        <v>20</v>
      </c>
      <c r="K88" s="1">
        <v>4.8499999999999996</v>
      </c>
      <c r="L88" s="1">
        <v>6</v>
      </c>
      <c r="M88" s="1">
        <v>1580</v>
      </c>
      <c r="N88" s="1">
        <v>32900</v>
      </c>
      <c r="O88" s="1" t="s">
        <v>14</v>
      </c>
      <c r="P88" s="1" t="s">
        <v>14</v>
      </c>
      <c r="Q88" s="1">
        <v>4254.8999999999996</v>
      </c>
      <c r="R88" s="1">
        <v>2420</v>
      </c>
      <c r="S88" s="1" t="s">
        <v>14</v>
      </c>
      <c r="T88" s="1" t="s">
        <v>14</v>
      </c>
      <c r="U88" s="1" t="s">
        <v>14</v>
      </c>
      <c r="V88" s="1" t="s">
        <v>14</v>
      </c>
      <c r="W88" s="1" t="s">
        <v>14</v>
      </c>
      <c r="X88" s="1" t="s">
        <v>14</v>
      </c>
      <c r="Y88" s="1" t="s">
        <v>45</v>
      </c>
      <c r="AA88" s="24" t="e">
        <f>#REF!/#REF!</f>
        <v>#REF!</v>
      </c>
    </row>
    <row r="89" spans="1:66" x14ac:dyDescent="0.3">
      <c r="A89" t="e">
        <f>"CE"&amp;#REF!</f>
        <v>#REF!</v>
      </c>
      <c r="B89" t="e">
        <f>"PE"&amp;#REF!</f>
        <v>#REF!</v>
      </c>
      <c r="C89" t="s">
        <v>45</v>
      </c>
      <c r="D89" s="1">
        <v>41960</v>
      </c>
      <c r="E89" s="1">
        <v>33540</v>
      </c>
      <c r="F89" s="1">
        <v>9470</v>
      </c>
      <c r="G89" s="1">
        <v>42.7</v>
      </c>
      <c r="H89" s="1">
        <v>5.7</v>
      </c>
      <c r="I89" s="1">
        <v>4.9000000000000004</v>
      </c>
      <c r="J89" s="1">
        <v>480</v>
      </c>
      <c r="K89" s="1">
        <v>5.2</v>
      </c>
      <c r="L89" s="1">
        <v>5.7</v>
      </c>
      <c r="M89" s="1">
        <v>100</v>
      </c>
      <c r="N89" s="1">
        <v>33000</v>
      </c>
      <c r="O89" s="1">
        <v>20</v>
      </c>
      <c r="P89" s="1">
        <v>3878.8</v>
      </c>
      <c r="Q89" s="1">
        <v>4142.6499999999996</v>
      </c>
      <c r="R89" s="1">
        <v>200</v>
      </c>
      <c r="S89" s="1">
        <v>-2146.5500000000002</v>
      </c>
      <c r="T89" s="1">
        <v>3993.45</v>
      </c>
      <c r="U89" s="1">
        <v>39.11</v>
      </c>
      <c r="V89" s="1">
        <v>77</v>
      </c>
      <c r="W89" s="1">
        <v>800</v>
      </c>
      <c r="X89" s="1">
        <v>11800</v>
      </c>
      <c r="Y89" s="1" t="s">
        <v>45</v>
      </c>
      <c r="AA89" s="24" t="e">
        <f>#REF!/#REF!</f>
        <v>#REF!</v>
      </c>
    </row>
    <row r="90" spans="1:66" x14ac:dyDescent="0.3">
      <c r="A90" t="e">
        <f>"CE"&amp;#REF!</f>
        <v>#REF!</v>
      </c>
      <c r="B90" t="e">
        <f>"PE"&amp;#REF!</f>
        <v>#REF!</v>
      </c>
      <c r="C90" t="s">
        <v>45</v>
      </c>
      <c r="D90" s="1">
        <v>3340</v>
      </c>
      <c r="E90" s="1">
        <v>3300</v>
      </c>
      <c r="F90" s="1">
        <v>185</v>
      </c>
      <c r="G90" s="1">
        <v>40</v>
      </c>
      <c r="H90" s="1">
        <v>2.5</v>
      </c>
      <c r="I90" s="1">
        <v>1.5</v>
      </c>
      <c r="J90" s="1">
        <v>1000</v>
      </c>
      <c r="K90" s="1">
        <v>2</v>
      </c>
      <c r="L90" s="1">
        <v>5.7</v>
      </c>
      <c r="M90" s="1">
        <v>1620</v>
      </c>
      <c r="N90" s="1">
        <v>33100</v>
      </c>
      <c r="O90" s="1" t="s">
        <v>14</v>
      </c>
      <c r="P90" s="1" t="s">
        <v>14</v>
      </c>
      <c r="Q90" s="1">
        <v>4454.6499999999996</v>
      </c>
      <c r="R90" s="1">
        <v>2420</v>
      </c>
      <c r="S90" s="1" t="s">
        <v>14</v>
      </c>
      <c r="T90" s="1" t="s">
        <v>14</v>
      </c>
      <c r="U90" s="1" t="s">
        <v>14</v>
      </c>
      <c r="V90" s="1" t="s">
        <v>14</v>
      </c>
      <c r="W90" s="1" t="s">
        <v>14</v>
      </c>
      <c r="X90" s="1">
        <v>260</v>
      </c>
      <c r="Y90" s="1" t="s">
        <v>45</v>
      </c>
      <c r="AA90" s="24" t="e">
        <f>#REF!/#REF!</f>
        <v>#REF!</v>
      </c>
    </row>
    <row r="91" spans="1:66" x14ac:dyDescent="0.3">
      <c r="A91" t="e">
        <f>"CE"&amp;#REF!</f>
        <v>#REF!</v>
      </c>
      <c r="B91" t="e">
        <f>"PE"&amp;#REF!</f>
        <v>#REF!</v>
      </c>
      <c r="C91" t="s">
        <v>19</v>
      </c>
      <c r="D91" s="1">
        <v>4744220</v>
      </c>
      <c r="E91" s="1"/>
      <c r="F91" s="1">
        <v>6939056</v>
      </c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>
        <v>5551973</v>
      </c>
      <c r="W91" s="1"/>
      <c r="X91" s="1">
        <v>6385220</v>
      </c>
      <c r="Y91" s="1" t="s">
        <v>19</v>
      </c>
      <c r="AA91" s="24" t="e">
        <f>#REF!/#REF!</f>
        <v>#REF!</v>
      </c>
    </row>
    <row r="92" spans="1:66" x14ac:dyDescent="0.3">
      <c r="A92" t="e">
        <f>"CE"&amp;#REF!</f>
        <v>#REF!</v>
      </c>
      <c r="B92" t="e">
        <f>"PE"&amp;#REF!</f>
        <v>#REF!</v>
      </c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AA92" s="24" t="e">
        <f>#REF!/#REF!</f>
        <v>#REF!</v>
      </c>
    </row>
    <row r="93" spans="1:66" x14ac:dyDescent="0.3">
      <c r="A93" t="str">
        <f t="shared" ref="A93:A116" si="7">"CE"&amp;N100</f>
        <v>CE</v>
      </c>
      <c r="B93" t="str">
        <f t="shared" ref="B93:B116" si="8">"PE"&amp;N100</f>
        <v>PE</v>
      </c>
      <c r="C93" t="s">
        <v>50</v>
      </c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AA93" s="24" t="e">
        <f>#REF!/#REF!</f>
        <v>#REF!</v>
      </c>
    </row>
    <row r="94" spans="1:66" x14ac:dyDescent="0.3">
      <c r="A94" t="str">
        <f t="shared" si="7"/>
        <v>CE</v>
      </c>
      <c r="B94" t="str">
        <f t="shared" si="8"/>
        <v>PE</v>
      </c>
      <c r="C94" t="s">
        <v>52</v>
      </c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24" t="e">
        <f>#REF!/#REF!</f>
        <v>#REF!</v>
      </c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BJ94" s="1"/>
      <c r="BN94" s="1"/>
    </row>
    <row r="95" spans="1:66" x14ac:dyDescent="0.3">
      <c r="A95" t="str">
        <f t="shared" si="7"/>
        <v>CE</v>
      </c>
      <c r="B95" t="str">
        <f t="shared" si="8"/>
        <v>PE</v>
      </c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AA95" s="24" t="e">
        <f>#REF!/#REF!</f>
        <v>#REF!</v>
      </c>
      <c r="BF95" s="1"/>
    </row>
    <row r="96" spans="1:66" x14ac:dyDescent="0.3">
      <c r="A96" t="str">
        <f t="shared" si="7"/>
        <v>CE</v>
      </c>
      <c r="B96" t="str">
        <f t="shared" si="8"/>
        <v>PE</v>
      </c>
      <c r="C96" t="s">
        <v>53</v>
      </c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24" t="e">
        <f>#REF!/#REF!</f>
        <v>#REF!</v>
      </c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</row>
    <row r="97" spans="1:46" x14ac:dyDescent="0.3">
      <c r="A97" t="str">
        <f t="shared" si="7"/>
        <v>CE</v>
      </c>
      <c r="B97" t="str">
        <f t="shared" si="8"/>
        <v>PE</v>
      </c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24" t="e">
        <f>#REF!/#REF!</f>
        <v>#REF!</v>
      </c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</row>
    <row r="98" spans="1:46" x14ac:dyDescent="0.3">
      <c r="A98" t="str">
        <f t="shared" si="7"/>
        <v>CE</v>
      </c>
      <c r="B98" t="str">
        <f t="shared" si="8"/>
        <v>PE</v>
      </c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AA98" s="24" t="e">
        <f>#REF!/#REF!</f>
        <v>#REF!</v>
      </c>
    </row>
    <row r="99" spans="1:46" x14ac:dyDescent="0.3">
      <c r="A99" t="str">
        <f t="shared" si="7"/>
        <v>CE</v>
      </c>
      <c r="B99" t="str">
        <f t="shared" si="8"/>
        <v>PE</v>
      </c>
      <c r="C99" t="s">
        <v>54</v>
      </c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AA99" s="24" t="e">
        <f>#REF!/#REF!</f>
        <v>#REF!</v>
      </c>
    </row>
    <row r="100" spans="1:46" x14ac:dyDescent="0.3">
      <c r="A100" t="str">
        <f t="shared" si="7"/>
        <v>CE</v>
      </c>
      <c r="B100" t="str">
        <f t="shared" si="8"/>
        <v>PE</v>
      </c>
      <c r="C100" t="s">
        <v>51</v>
      </c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AA100" s="24" t="e">
        <f>#REF!/#REF!</f>
        <v>#REF!</v>
      </c>
    </row>
    <row r="101" spans="1:46" x14ac:dyDescent="0.3">
      <c r="A101" t="str">
        <f t="shared" si="7"/>
        <v>CE</v>
      </c>
      <c r="B101" t="str">
        <f t="shared" si="8"/>
        <v>PE</v>
      </c>
      <c r="AA101" s="24" t="e">
        <f>#REF!/#REF!</f>
        <v>#REF!</v>
      </c>
    </row>
    <row r="102" spans="1:46" x14ac:dyDescent="0.3">
      <c r="A102" t="str">
        <f t="shared" si="7"/>
        <v>CE</v>
      </c>
      <c r="B102" t="str">
        <f t="shared" si="8"/>
        <v>PE</v>
      </c>
      <c r="AA102" s="24" t="e">
        <f>#REF!/#REF!</f>
        <v>#REF!</v>
      </c>
    </row>
    <row r="103" spans="1:46" x14ac:dyDescent="0.3">
      <c r="A103" t="str">
        <f t="shared" si="7"/>
        <v>CE</v>
      </c>
      <c r="B103" t="str">
        <f t="shared" si="8"/>
        <v>PE</v>
      </c>
      <c r="AA103" s="24" t="e">
        <f>#REF!/#REF!</f>
        <v>#REF!</v>
      </c>
    </row>
    <row r="104" spans="1:46" x14ac:dyDescent="0.3">
      <c r="A104" t="str">
        <f t="shared" si="7"/>
        <v>CE</v>
      </c>
      <c r="B104" t="str">
        <f t="shared" si="8"/>
        <v>PE</v>
      </c>
      <c r="AA104" s="24" t="e">
        <f>#REF!/#REF!</f>
        <v>#REF!</v>
      </c>
    </row>
    <row r="105" spans="1:46" x14ac:dyDescent="0.3">
      <c r="A105" t="str">
        <f t="shared" si="7"/>
        <v>CE</v>
      </c>
      <c r="B105" t="str">
        <f t="shared" si="8"/>
        <v>PE</v>
      </c>
      <c r="AA105" s="24" t="e">
        <f>#REF!/#REF!</f>
        <v>#REF!</v>
      </c>
    </row>
    <row r="106" spans="1:46" x14ac:dyDescent="0.3">
      <c r="A106" t="str">
        <f t="shared" si="7"/>
        <v>CE</v>
      </c>
      <c r="B106" t="str">
        <f t="shared" si="8"/>
        <v>PE</v>
      </c>
      <c r="AA106" s="24" t="e">
        <f>#REF!/#REF!</f>
        <v>#REF!</v>
      </c>
    </row>
    <row r="107" spans="1:46" x14ac:dyDescent="0.3">
      <c r="A107" t="str">
        <f t="shared" si="7"/>
        <v>CE</v>
      </c>
      <c r="B107" t="str">
        <f t="shared" si="8"/>
        <v>PE</v>
      </c>
      <c r="AA107" s="24" t="e">
        <f>#REF!/#REF!</f>
        <v>#REF!</v>
      </c>
    </row>
    <row r="108" spans="1:46" x14ac:dyDescent="0.3">
      <c r="A108" t="str">
        <f t="shared" si="7"/>
        <v>CE</v>
      </c>
      <c r="B108" t="str">
        <f t="shared" si="8"/>
        <v>PE</v>
      </c>
      <c r="AA108" s="24" t="e">
        <f>#REF!/#REF!</f>
        <v>#REF!</v>
      </c>
    </row>
    <row r="109" spans="1:46" x14ac:dyDescent="0.3">
      <c r="A109" t="str">
        <f t="shared" si="7"/>
        <v>CE</v>
      </c>
      <c r="B109" t="str">
        <f t="shared" si="8"/>
        <v>PE</v>
      </c>
      <c r="AA109" s="24" t="e">
        <f>#REF!/#REF!</f>
        <v>#REF!</v>
      </c>
    </row>
    <row r="110" spans="1:46" x14ac:dyDescent="0.3">
      <c r="A110" t="str">
        <f t="shared" si="7"/>
        <v>CE</v>
      </c>
      <c r="B110" t="str">
        <f t="shared" si="8"/>
        <v>PE</v>
      </c>
      <c r="AA110" s="24" t="e">
        <f>#REF!/#REF!</f>
        <v>#REF!</v>
      </c>
    </row>
    <row r="111" spans="1:46" x14ac:dyDescent="0.3">
      <c r="A111" t="str">
        <f t="shared" si="7"/>
        <v>CE</v>
      </c>
      <c r="B111" t="str">
        <f t="shared" si="8"/>
        <v>PE</v>
      </c>
      <c r="AA111" s="24" t="e">
        <f>#REF!/#REF!</f>
        <v>#REF!</v>
      </c>
    </row>
    <row r="112" spans="1:46" x14ac:dyDescent="0.3">
      <c r="A112" t="str">
        <f t="shared" si="7"/>
        <v>CE</v>
      </c>
      <c r="B112" t="str">
        <f t="shared" si="8"/>
        <v>PE</v>
      </c>
      <c r="AA112" s="24" t="e">
        <f>#REF!/#REF!</f>
        <v>#REF!</v>
      </c>
    </row>
    <row r="113" spans="1:27" x14ac:dyDescent="0.3">
      <c r="A113" t="str">
        <f t="shared" si="7"/>
        <v>CE</v>
      </c>
      <c r="B113" t="str">
        <f t="shared" si="8"/>
        <v>PE</v>
      </c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AA113" s="24" t="e">
        <f>#REF!/#REF!</f>
        <v>#REF!</v>
      </c>
    </row>
    <row r="114" spans="1:27" x14ac:dyDescent="0.3">
      <c r="A114" t="str">
        <f t="shared" si="7"/>
        <v>CE</v>
      </c>
      <c r="B114" t="str">
        <f t="shared" si="8"/>
        <v>PE</v>
      </c>
      <c r="AA114" s="24" t="e">
        <f>#REF!/#REF!</f>
        <v>#REF!</v>
      </c>
    </row>
    <row r="115" spans="1:27" x14ac:dyDescent="0.3">
      <c r="A115" t="str">
        <f t="shared" si="7"/>
        <v>CE</v>
      </c>
      <c r="B115" t="str">
        <f t="shared" si="8"/>
        <v>PE</v>
      </c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AA115" s="24" t="e">
        <f>#REF!/#REF!</f>
        <v>#REF!</v>
      </c>
    </row>
    <row r="116" spans="1:27" x14ac:dyDescent="0.3">
      <c r="A116" t="str">
        <f t="shared" si="7"/>
        <v>CE</v>
      </c>
      <c r="B116" t="str">
        <f t="shared" si="8"/>
        <v>PE</v>
      </c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AA116" s="24" t="e">
        <f>#REF!/#REF!</f>
        <v>#REF!</v>
      </c>
    </row>
    <row r="117" spans="1:27" x14ac:dyDescent="0.3">
      <c r="A117" t="str">
        <f t="shared" ref="A117:A137" si="9">"CE"&amp;N124</f>
        <v>CE</v>
      </c>
      <c r="B117" t="str">
        <f t="shared" ref="B117:B137" si="10">"PE"&amp;N124</f>
        <v>PE</v>
      </c>
      <c r="AA117" s="24" t="e">
        <f>#REF!/#REF!</f>
        <v>#REF!</v>
      </c>
    </row>
    <row r="118" spans="1:27" x14ac:dyDescent="0.3">
      <c r="A118" t="str">
        <f t="shared" si="9"/>
        <v>CE</v>
      </c>
      <c r="B118" t="str">
        <f t="shared" si="10"/>
        <v>PE</v>
      </c>
      <c r="AA118" s="24" t="e">
        <f>#REF!/#REF!</f>
        <v>#REF!</v>
      </c>
    </row>
    <row r="119" spans="1:27" x14ac:dyDescent="0.3">
      <c r="A119" t="str">
        <f t="shared" si="9"/>
        <v>CE</v>
      </c>
      <c r="B119" t="str">
        <f t="shared" si="10"/>
        <v>PE</v>
      </c>
      <c r="AA119" s="24" t="e">
        <f>#REF!/#REF!</f>
        <v>#REF!</v>
      </c>
    </row>
    <row r="120" spans="1:27" x14ac:dyDescent="0.3">
      <c r="A120" t="str">
        <f t="shared" si="9"/>
        <v>CE</v>
      </c>
      <c r="B120" t="str">
        <f t="shared" si="10"/>
        <v>PE</v>
      </c>
      <c r="AA120" s="24" t="e">
        <f>#REF!/#REF!</f>
        <v>#REF!</v>
      </c>
    </row>
    <row r="121" spans="1:27" x14ac:dyDescent="0.3">
      <c r="A121" t="str">
        <f t="shared" si="9"/>
        <v>CE</v>
      </c>
      <c r="B121" t="str">
        <f t="shared" si="10"/>
        <v>PE</v>
      </c>
      <c r="AA121" s="24" t="e">
        <f>#REF!/#REF!</f>
        <v>#REF!</v>
      </c>
    </row>
    <row r="122" spans="1:27" x14ac:dyDescent="0.3">
      <c r="A122" t="str">
        <f t="shared" si="9"/>
        <v>CE</v>
      </c>
      <c r="B122" t="str">
        <f t="shared" si="10"/>
        <v>PE</v>
      </c>
      <c r="AA122" s="24" t="e">
        <f>#REF!/#REF!</f>
        <v>#REF!</v>
      </c>
    </row>
    <row r="123" spans="1:27" x14ac:dyDescent="0.3">
      <c r="A123" t="str">
        <f t="shared" si="9"/>
        <v>CE</v>
      </c>
      <c r="B123" t="str">
        <f t="shared" si="10"/>
        <v>PE</v>
      </c>
      <c r="AA123" s="24" t="e">
        <f>#REF!/#REF!</f>
        <v>#REF!</v>
      </c>
    </row>
    <row r="124" spans="1:27" x14ac:dyDescent="0.3">
      <c r="A124" t="str">
        <f t="shared" si="9"/>
        <v>CE</v>
      </c>
      <c r="B124" t="str">
        <f t="shared" si="10"/>
        <v>PE</v>
      </c>
      <c r="AA124" s="24" t="e">
        <f>#REF!/#REF!</f>
        <v>#REF!</v>
      </c>
    </row>
    <row r="125" spans="1:27" x14ac:dyDescent="0.3">
      <c r="A125" t="str">
        <f t="shared" si="9"/>
        <v>CE</v>
      </c>
      <c r="B125" t="str">
        <f t="shared" si="10"/>
        <v>PE</v>
      </c>
      <c r="AA125" s="24" t="e">
        <f>#REF!/#REF!</f>
        <v>#REF!</v>
      </c>
    </row>
    <row r="126" spans="1:27" x14ac:dyDescent="0.3">
      <c r="A126" t="str">
        <f t="shared" si="9"/>
        <v>CE</v>
      </c>
      <c r="B126" t="str">
        <f t="shared" si="10"/>
        <v>PE</v>
      </c>
      <c r="AA126" s="24" t="e">
        <f>#REF!/#REF!</f>
        <v>#REF!</v>
      </c>
    </row>
    <row r="127" spans="1:27" x14ac:dyDescent="0.3">
      <c r="A127" t="str">
        <f t="shared" si="9"/>
        <v>CE</v>
      </c>
      <c r="B127" t="str">
        <f t="shared" si="10"/>
        <v>PE</v>
      </c>
      <c r="AA127" s="24" t="e">
        <f>X100/D100</f>
        <v>#DIV/0!</v>
      </c>
    </row>
    <row r="128" spans="1:27" x14ac:dyDescent="0.3">
      <c r="A128" t="str">
        <f t="shared" si="9"/>
        <v>CE</v>
      </c>
      <c r="B128" t="str">
        <f t="shared" si="10"/>
        <v>PE</v>
      </c>
    </row>
    <row r="129" spans="1:2" x14ac:dyDescent="0.3">
      <c r="A129" t="str">
        <f t="shared" si="9"/>
        <v>CE</v>
      </c>
      <c r="B129" t="str">
        <f t="shared" si="10"/>
        <v>PE</v>
      </c>
    </row>
    <row r="130" spans="1:2" x14ac:dyDescent="0.3">
      <c r="A130" t="str">
        <f t="shared" si="9"/>
        <v>CE</v>
      </c>
      <c r="B130" t="str">
        <f t="shared" si="10"/>
        <v>PE</v>
      </c>
    </row>
    <row r="131" spans="1:2" x14ac:dyDescent="0.3">
      <c r="A131" t="str">
        <f t="shared" si="9"/>
        <v>CE</v>
      </c>
      <c r="B131" t="str">
        <f t="shared" si="10"/>
        <v>PE</v>
      </c>
    </row>
    <row r="132" spans="1:2" x14ac:dyDescent="0.3">
      <c r="A132" t="str">
        <f t="shared" si="9"/>
        <v>CE</v>
      </c>
      <c r="B132" t="str">
        <f t="shared" si="10"/>
        <v>PE</v>
      </c>
    </row>
    <row r="133" spans="1:2" x14ac:dyDescent="0.3">
      <c r="A133" t="str">
        <f t="shared" si="9"/>
        <v>CE</v>
      </c>
      <c r="B133" t="str">
        <f t="shared" si="10"/>
        <v>PE</v>
      </c>
    </row>
    <row r="134" spans="1:2" x14ac:dyDescent="0.3">
      <c r="A134" t="str">
        <f t="shared" si="9"/>
        <v>CE</v>
      </c>
      <c r="B134" t="str">
        <f t="shared" si="10"/>
        <v>PE</v>
      </c>
    </row>
    <row r="135" spans="1:2" x14ac:dyDescent="0.3">
      <c r="A135" t="str">
        <f t="shared" si="9"/>
        <v>CE</v>
      </c>
      <c r="B135" t="str">
        <f t="shared" si="10"/>
        <v>PE</v>
      </c>
    </row>
    <row r="136" spans="1:2" x14ac:dyDescent="0.3">
      <c r="A136" t="str">
        <f t="shared" si="9"/>
        <v>CE</v>
      </c>
      <c r="B136" t="str">
        <f t="shared" si="10"/>
        <v>PE</v>
      </c>
    </row>
    <row r="137" spans="1:2" x14ac:dyDescent="0.3">
      <c r="A137" t="str">
        <f t="shared" si="9"/>
        <v>CE</v>
      </c>
      <c r="B137" t="str">
        <f t="shared" si="10"/>
        <v>PE</v>
      </c>
    </row>
  </sheetData>
  <sortState xmlns:xlrd2="http://schemas.microsoft.com/office/spreadsheetml/2017/richdata2" ref="C1:E168">
    <sortCondition ref="D1:D168"/>
  </sortState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67"/>
  <sheetViews>
    <sheetView zoomScale="90" zoomScaleNormal="90" workbookViewId="0">
      <selection activeCell="V14" sqref="V14"/>
    </sheetView>
  </sheetViews>
  <sheetFormatPr defaultColWidth="7.5546875" defaultRowHeight="14.4" x14ac:dyDescent="0.3"/>
  <cols>
    <col min="1" max="1" width="1.33203125" customWidth="1"/>
    <col min="2" max="2" width="2.33203125" customWidth="1"/>
    <col min="4" max="4" width="8.44140625" bestFit="1" customWidth="1"/>
    <col min="5" max="5" width="20.44140625" customWidth="1"/>
    <col min="6" max="6" width="8.5546875" customWidth="1"/>
    <col min="7" max="7" width="8.44140625" customWidth="1"/>
    <col min="8" max="8" width="9.88671875" customWidth="1"/>
    <col min="9" max="9" width="11.6640625" customWidth="1"/>
    <col min="10" max="10" width="9.44140625" customWidth="1"/>
    <col min="11" max="11" width="9.33203125" customWidth="1"/>
    <col min="12" max="12" width="8.33203125" customWidth="1"/>
    <col min="13" max="13" width="9" customWidth="1"/>
    <col min="14" max="14" width="9.33203125" customWidth="1"/>
    <col min="15" max="15" width="12" bestFit="1" customWidth="1"/>
    <col min="16" max="16" width="11" customWidth="1"/>
    <col min="17" max="17" width="11.88671875" bestFit="1" customWidth="1"/>
    <col min="18" max="18" width="10" customWidth="1"/>
    <col min="19" max="19" width="17.88671875" customWidth="1"/>
    <col min="20" max="20" width="11.33203125" customWidth="1"/>
    <col min="24" max="24" width="15.6640625" bestFit="1" customWidth="1"/>
  </cols>
  <sheetData>
    <row r="1" spans="1:20" ht="31.2" x14ac:dyDescent="0.6">
      <c r="C1" s="65" t="s">
        <v>44</v>
      </c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  <c r="Q1" s="65"/>
      <c r="R1" s="65"/>
      <c r="S1" s="65"/>
      <c r="T1" s="66"/>
    </row>
    <row r="2" spans="1:20" ht="15" customHeight="1" x14ac:dyDescent="0.3">
      <c r="A2" s="2"/>
      <c r="B2" s="2"/>
      <c r="C2" s="2"/>
      <c r="D2" s="2"/>
      <c r="E2" s="27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33" t="s">
        <v>30</v>
      </c>
      <c r="R2" s="2"/>
      <c r="S2" s="2"/>
      <c r="T2" s="2"/>
    </row>
    <row r="3" spans="1:20" x14ac:dyDescent="0.3">
      <c r="A3" s="2"/>
      <c r="B3" s="2"/>
      <c r="C3" s="2"/>
      <c r="D3" s="2"/>
      <c r="E3" s="3"/>
      <c r="F3" s="2"/>
      <c r="G3" s="2"/>
      <c r="H3" s="2"/>
      <c r="I3" s="4" t="s">
        <v>55</v>
      </c>
      <c r="J3" s="5">
        <f>'Data Nifty'!A4</f>
        <v>28981.55</v>
      </c>
      <c r="K3" s="2"/>
      <c r="L3" s="6" t="str">
        <f>'Data Nifty'!A2</f>
        <v>Last Update @  15:30:30</v>
      </c>
      <c r="M3" s="7"/>
      <c r="N3" s="7"/>
      <c r="O3" s="26" t="str">
        <f>'Data Nifty'!A1</f>
        <v xml:space="preserve"> on Sep 20, </v>
      </c>
      <c r="P3" s="2"/>
      <c r="Q3" s="34">
        <f ca="1">TODAY()</f>
        <v>43728</v>
      </c>
      <c r="R3" s="2"/>
      <c r="S3" s="2"/>
      <c r="T3" s="2"/>
    </row>
    <row r="4" spans="1:20" x14ac:dyDescent="0.3">
      <c r="A4" s="2"/>
      <c r="B4" s="2"/>
      <c r="C4" s="2"/>
      <c r="D4" s="2"/>
      <c r="E4" s="27"/>
      <c r="F4" s="2"/>
      <c r="G4" s="2"/>
      <c r="H4" s="2"/>
      <c r="I4" s="2"/>
      <c r="J4" s="2"/>
      <c r="K4" s="2"/>
      <c r="L4" s="2"/>
      <c r="M4" s="2"/>
      <c r="N4" s="2"/>
      <c r="O4" s="2"/>
      <c r="P4" s="31"/>
      <c r="Q4" s="31"/>
      <c r="R4" s="2"/>
      <c r="S4" s="2"/>
      <c r="T4" s="2"/>
    </row>
    <row r="5" spans="1:20" x14ac:dyDescent="0.3">
      <c r="A5" s="2"/>
      <c r="B5" s="2"/>
      <c r="C5" s="2"/>
      <c r="D5" s="67" t="str">
        <f>'Data Nifty'!C3</f>
        <v xml:space="preserve">OR </v>
      </c>
      <c r="E5" s="67"/>
      <c r="F5" s="67"/>
      <c r="G5" s="67"/>
      <c r="H5" s="67"/>
      <c r="I5" s="67"/>
      <c r="J5" s="67"/>
      <c r="K5" s="68"/>
      <c r="L5" s="8"/>
      <c r="M5" s="69">
        <f>'Data Nifty'!O3</f>
        <v>0</v>
      </c>
      <c r="N5" s="70"/>
      <c r="O5" s="70"/>
      <c r="P5" s="70"/>
      <c r="Q5" s="70"/>
      <c r="R5" s="70"/>
      <c r="S5" s="70"/>
      <c r="T5" s="70"/>
    </row>
    <row r="6" spans="1:20" ht="47.25" customHeight="1" x14ac:dyDescent="0.3">
      <c r="A6" s="9"/>
      <c r="B6" s="9"/>
      <c r="C6" s="9"/>
      <c r="D6" s="10" t="s">
        <v>43</v>
      </c>
      <c r="E6" s="10" t="s">
        <v>16</v>
      </c>
      <c r="F6" s="11" t="s">
        <v>17</v>
      </c>
      <c r="G6" s="11" t="s">
        <v>20</v>
      </c>
      <c r="H6" s="11" t="s">
        <v>28</v>
      </c>
      <c r="I6" s="11" t="s">
        <v>27</v>
      </c>
      <c r="J6" s="11" t="s">
        <v>29</v>
      </c>
      <c r="K6" s="11" t="s">
        <v>26</v>
      </c>
      <c r="L6" s="12" t="s">
        <v>18</v>
      </c>
      <c r="M6" s="11" t="s">
        <v>23</v>
      </c>
      <c r="N6" s="11" t="s">
        <v>22</v>
      </c>
      <c r="O6" s="11" t="s">
        <v>24</v>
      </c>
      <c r="P6" s="11" t="s">
        <v>25</v>
      </c>
      <c r="Q6" s="11" t="s">
        <v>21</v>
      </c>
      <c r="R6" s="11" t="str">
        <f>F6</f>
        <v>OI change</v>
      </c>
      <c r="S6" s="13" t="str">
        <f>E6</f>
        <v>Interpretation</v>
      </c>
      <c r="T6" s="13" t="s">
        <v>43</v>
      </c>
    </row>
    <row r="7" spans="1:20" x14ac:dyDescent="0.3">
      <c r="A7" s="23" t="str">
        <f t="shared" ref="A7:A22" si="0">"CE"&amp;L7</f>
        <v>CE28200</v>
      </c>
      <c r="B7" s="23" t="str">
        <f t="shared" ref="B7:B22" si="1">"PE"&amp;L7</f>
        <v>PE28200</v>
      </c>
      <c r="C7" s="2"/>
      <c r="D7" s="15" t="str">
        <f>IF(OR(E7="Long Liquidation",E7="Short Buildup"),"BEARISH","BULLISH")</f>
        <v>BULLISH</v>
      </c>
      <c r="E7" s="14" t="str">
        <f t="shared" ref="E7:E21" si="2">IF(AND(J7&lt;0,I7&lt;0),"Long Liquidation",IF(AND(J7&lt;0,I7&gt;0),"Short Buildup",IF(AND(J7&gt;0,I7&gt;0),"Long Buildup",IF(AND(J7&gt;0,I7&lt;0),"Short covering"))))</f>
        <v>Short covering</v>
      </c>
      <c r="F7" s="15" t="str">
        <f t="shared" ref="F7:F21" si="3">IF(I7&gt;0,"UP","DOWN")</f>
        <v>DOWN</v>
      </c>
      <c r="G7" s="17">
        <f>VLOOKUP(A7,'Data Nifty'!A$11:AZ$113,6,0)</f>
        <v>112168</v>
      </c>
      <c r="H7" s="18">
        <f>VLOOKUP(A7,'Data Nifty'!A$11:AZ$113,4,0)</f>
        <v>34400</v>
      </c>
      <c r="I7" s="25">
        <f>VLOOKUP(A7,'Data Nifty'!A$11:AZ$113,5,0)</f>
        <v>-37760</v>
      </c>
      <c r="J7" s="16">
        <f>VLOOKUP(A7,'Data Nifty'!A$11:AZ$113,9,0)</f>
        <v>850.2</v>
      </c>
      <c r="K7" s="16">
        <f>VLOOKUP(A7,'Data Nifty'!A$11:AZ$113,8,0)</f>
        <v>863.45</v>
      </c>
      <c r="L7" s="19">
        <f t="shared" ref="L7:L14" si="4">L8-100</f>
        <v>28200</v>
      </c>
      <c r="M7" s="16">
        <f>VLOOKUP(B7,'Data Nifty'!B$11:BN$113,19,0)</f>
        <v>85</v>
      </c>
      <c r="N7" s="16">
        <f>VLOOKUP(B7,'Data Nifty'!B$11:BN$113,18,0)</f>
        <v>-1337.45</v>
      </c>
      <c r="O7" s="25">
        <f>VLOOKUP(B7,'Data Nifty'!B$11:BN$113,22,0)</f>
        <v>123720</v>
      </c>
      <c r="P7" s="18">
        <f>VLOOKUP(B7,'Data Nifty'!B$11:BN$113,23,0)</f>
        <v>127640</v>
      </c>
      <c r="Q7" s="17">
        <f>VLOOKUP(B7,'Data Nifty'!B$11:BN$113,21,0)</f>
        <v>91554</v>
      </c>
      <c r="R7" s="20" t="str">
        <f t="shared" ref="R7:R22" si="5">IF(O7&gt;0,"UP","DOWN")</f>
        <v>UP</v>
      </c>
      <c r="S7" s="21" t="str">
        <f t="shared" ref="S7:S22" si="6">IF(AND(N7&lt;0,O7&lt;0),"Long Liquidation",IF(AND(N7&lt;0,O7&gt;0),"Short Buildup",IF(AND(N7&gt;0,O7&gt;0),"Long Buildup",IF(AND(N7&gt;0,O7&lt;0),"Short covering"))))</f>
        <v>Short Buildup</v>
      </c>
      <c r="T7" s="16" t="str">
        <f>IF(OR(S7="Long Liquidation",S7="Short Buildup"),"BULLISH","BEARISH")</f>
        <v>BULLISH</v>
      </c>
    </row>
    <row r="8" spans="1:20" x14ac:dyDescent="0.3">
      <c r="A8" s="23" t="str">
        <f>"CE"&amp;L8</f>
        <v>CE28300</v>
      </c>
      <c r="B8" s="23" t="str">
        <f>"PE"&amp;L8</f>
        <v>PE28300</v>
      </c>
      <c r="C8" s="2"/>
      <c r="D8" s="15" t="str">
        <f t="shared" ref="D8:D22" si="7">IF(OR(E8="Long Liquidation",E8="Short Buildup"),"BEARISH","BULLISH")</f>
        <v>BULLISH</v>
      </c>
      <c r="E8" s="14" t="str">
        <f>IF(AND(J8&lt;0,I8&lt;0),"Long Liquidation",IF(AND(J8&lt;0,I8&gt;0),"Short Buildup",IF(AND(J8&gt;0,I8&gt;0),"Long Buildup",IF(AND(J8&gt;0,I8&lt;0),"Short covering"))))</f>
        <v>Short covering</v>
      </c>
      <c r="F8" s="15" t="str">
        <f>IF(I8&gt;0,"UP","DOWN")</f>
        <v>DOWN</v>
      </c>
      <c r="G8" s="17">
        <f>VLOOKUP(A8,'Data Nifty'!A$11:AZ$113,6,0)</f>
        <v>100706</v>
      </c>
      <c r="H8" s="18">
        <f>VLOOKUP(A8,'Data Nifty'!A$11:AZ$113,4,0)</f>
        <v>33140</v>
      </c>
      <c r="I8" s="25">
        <f>VLOOKUP(A8,'Data Nifty'!A$11:AZ$113,5,0)</f>
        <v>-32740</v>
      </c>
      <c r="J8" s="16">
        <f>VLOOKUP(A8,'Data Nifty'!A$11:AZ$113,9,0)</f>
        <v>779.15</v>
      </c>
      <c r="K8" s="16">
        <f>VLOOKUP(A8,'Data Nifty'!A$11:AZ$113,8,0)</f>
        <v>790</v>
      </c>
      <c r="L8" s="19">
        <f t="shared" si="4"/>
        <v>28300</v>
      </c>
      <c r="M8" s="16">
        <f>VLOOKUP(B8,'Data Nifty'!B$11:BN$113,19,0)</f>
        <v>102</v>
      </c>
      <c r="N8" s="16">
        <f>VLOOKUP(B8,'Data Nifty'!B$11:BN$113,18,0)</f>
        <v>-1352.95</v>
      </c>
      <c r="O8" s="25">
        <f>VLOOKUP(B8,'Data Nifty'!B$11:BN$113,22,0)</f>
        <v>84260</v>
      </c>
      <c r="P8" s="18">
        <f>VLOOKUP(B8,'Data Nifty'!B$11:BN$113,23,0)</f>
        <v>86360</v>
      </c>
      <c r="Q8" s="17">
        <f>VLOOKUP(B8,'Data Nifty'!B$11:BN$113,21,0)</f>
        <v>79884</v>
      </c>
      <c r="R8" s="20" t="str">
        <f t="shared" si="5"/>
        <v>UP</v>
      </c>
      <c r="S8" s="21" t="str">
        <f t="shared" si="6"/>
        <v>Short Buildup</v>
      </c>
      <c r="T8" s="16" t="str">
        <f t="shared" ref="T8:T22" si="8">IF(OR(S8="Long Liquidation",S8="Short Buildup"),"BULLISH","BEARISH")</f>
        <v>BULLISH</v>
      </c>
    </row>
    <row r="9" spans="1:20" x14ac:dyDescent="0.3">
      <c r="A9" s="23" t="str">
        <f t="shared" si="0"/>
        <v>CE28400</v>
      </c>
      <c r="B9" s="23" t="str">
        <f t="shared" si="1"/>
        <v>PE28400</v>
      </c>
      <c r="C9" s="2"/>
      <c r="D9" s="15" t="str">
        <f t="shared" si="7"/>
        <v>BULLISH</v>
      </c>
      <c r="E9" s="14" t="str">
        <f t="shared" si="2"/>
        <v>Long Buildup</v>
      </c>
      <c r="F9" s="15" t="str">
        <f t="shared" si="3"/>
        <v>UP</v>
      </c>
      <c r="G9" s="17">
        <f>VLOOKUP(A9,'Data Nifty'!A$11:AZ$113,6,0)</f>
        <v>95288</v>
      </c>
      <c r="H9" s="18">
        <f>VLOOKUP(A9,'Data Nifty'!A$11:AZ$113,4,0)</f>
        <v>50420</v>
      </c>
      <c r="I9" s="25">
        <f>VLOOKUP(A9,'Data Nifty'!A$11:AZ$113,5,0)</f>
        <v>14580</v>
      </c>
      <c r="J9" s="16">
        <f>VLOOKUP(A9,'Data Nifty'!A$11:AZ$113,9,0)</f>
        <v>719.3</v>
      </c>
      <c r="K9" s="16">
        <f>VLOOKUP(A9,'Data Nifty'!A$11:AZ$113,8,0)</f>
        <v>728</v>
      </c>
      <c r="L9" s="19">
        <f t="shared" si="4"/>
        <v>28400</v>
      </c>
      <c r="M9" s="16">
        <f>VLOOKUP(B9,'Data Nifty'!B$11:BN$113,19,0)</f>
        <v>120.9</v>
      </c>
      <c r="N9" s="16">
        <f>VLOOKUP(B9,'Data Nifty'!B$11:BN$113,18,0)</f>
        <v>-1565.5</v>
      </c>
      <c r="O9" s="25">
        <f>VLOOKUP(B9,'Data Nifty'!B$11:BN$113,22,0)</f>
        <v>70400</v>
      </c>
      <c r="P9" s="18">
        <f>VLOOKUP(B9,'Data Nifty'!B$11:BN$113,23,0)</f>
        <v>70640</v>
      </c>
      <c r="Q9" s="17">
        <f>VLOOKUP(B9,'Data Nifty'!B$11:BN$113,21,0)</f>
        <v>74396</v>
      </c>
      <c r="R9" s="20" t="str">
        <f t="shared" si="5"/>
        <v>UP</v>
      </c>
      <c r="S9" s="21" t="str">
        <f t="shared" si="6"/>
        <v>Short Buildup</v>
      </c>
      <c r="T9" s="16" t="str">
        <f t="shared" si="8"/>
        <v>BULLISH</v>
      </c>
    </row>
    <row r="10" spans="1:20" x14ac:dyDescent="0.3">
      <c r="A10" s="23" t="str">
        <f t="shared" si="0"/>
        <v>CE28500</v>
      </c>
      <c r="B10" s="23" t="str">
        <f t="shared" si="1"/>
        <v>PE28500</v>
      </c>
      <c r="C10" s="2"/>
      <c r="D10" s="15" t="str">
        <f t="shared" si="7"/>
        <v>BULLISH</v>
      </c>
      <c r="E10" s="14" t="str">
        <f t="shared" si="2"/>
        <v>Short covering</v>
      </c>
      <c r="F10" s="15" t="str">
        <f t="shared" si="3"/>
        <v>DOWN</v>
      </c>
      <c r="G10" s="17">
        <f>VLOOKUP(A10,'Data Nifty'!A$11:AZ$113,6,0)</f>
        <v>408442</v>
      </c>
      <c r="H10" s="18">
        <f>VLOOKUP(A10,'Data Nifty'!A$11:AZ$113,4,0)</f>
        <v>374900</v>
      </c>
      <c r="I10" s="25">
        <f>VLOOKUP(A10,'Data Nifty'!A$11:AZ$113,5,0)</f>
        <v>-55680</v>
      </c>
      <c r="J10" s="16">
        <f>VLOOKUP(A10,'Data Nifty'!A$11:AZ$113,9,0)</f>
        <v>642.20000000000005</v>
      </c>
      <c r="K10" s="16">
        <f>VLOOKUP(A10,'Data Nifty'!A$11:AZ$113,8,0)</f>
        <v>650</v>
      </c>
      <c r="L10" s="19">
        <f t="shared" si="4"/>
        <v>28500</v>
      </c>
      <c r="M10" s="16">
        <f>VLOOKUP(B10,'Data Nifty'!B$11:BN$113,19,0)</f>
        <v>146.05000000000001</v>
      </c>
      <c r="N10" s="16">
        <f>VLOOKUP(B10,'Data Nifty'!B$11:BN$113,18,0)</f>
        <v>-1574.9</v>
      </c>
      <c r="O10" s="25">
        <f>VLOOKUP(B10,'Data Nifty'!B$11:BN$113,22,0)</f>
        <v>489580</v>
      </c>
      <c r="P10" s="18">
        <f>VLOOKUP(B10,'Data Nifty'!B$11:BN$113,23,0)</f>
        <v>507080</v>
      </c>
      <c r="Q10" s="17">
        <f>VLOOKUP(B10,'Data Nifty'!B$11:BN$113,21,0)</f>
        <v>308735</v>
      </c>
      <c r="R10" s="20" t="str">
        <f t="shared" si="5"/>
        <v>UP</v>
      </c>
      <c r="S10" s="21" t="str">
        <f t="shared" si="6"/>
        <v>Short Buildup</v>
      </c>
      <c r="T10" s="16" t="str">
        <f t="shared" si="8"/>
        <v>BULLISH</v>
      </c>
    </row>
    <row r="11" spans="1:20" x14ac:dyDescent="0.3">
      <c r="A11" s="23" t="str">
        <f t="shared" si="0"/>
        <v>CE28600</v>
      </c>
      <c r="B11" s="23" t="str">
        <f t="shared" si="1"/>
        <v>PE28600</v>
      </c>
      <c r="C11" s="2"/>
      <c r="D11" s="15" t="str">
        <f t="shared" si="7"/>
        <v>BULLISH</v>
      </c>
      <c r="E11" s="14" t="str">
        <f t="shared" si="2"/>
        <v>Short covering</v>
      </c>
      <c r="F11" s="15" t="str">
        <f t="shared" si="3"/>
        <v>DOWN</v>
      </c>
      <c r="G11" s="17">
        <f>VLOOKUP(A11,'Data Nifty'!A$11:AZ$113,6,0)</f>
        <v>109737</v>
      </c>
      <c r="H11" s="18">
        <f>VLOOKUP(A11,'Data Nifty'!A$11:AZ$113,4,0)</f>
        <v>28020</v>
      </c>
      <c r="I11" s="25">
        <f>VLOOKUP(A11,'Data Nifty'!A$11:AZ$113,5,0)</f>
        <v>-4960</v>
      </c>
      <c r="J11" s="16">
        <f>VLOOKUP(A11,'Data Nifty'!A$11:AZ$113,9,0)</f>
        <v>565.75</v>
      </c>
      <c r="K11" s="16">
        <f>VLOOKUP(A11,'Data Nifty'!A$11:AZ$113,8,0)</f>
        <v>572.29999999999995</v>
      </c>
      <c r="L11" s="19">
        <f t="shared" si="4"/>
        <v>28600</v>
      </c>
      <c r="M11" s="16">
        <f>VLOOKUP(B11,'Data Nifty'!B$11:BN$113,19,0)</f>
        <v>180</v>
      </c>
      <c r="N11" s="16">
        <f>VLOOKUP(B11,'Data Nifty'!B$11:BN$113,18,0)</f>
        <v>-1620</v>
      </c>
      <c r="O11" s="25">
        <f>VLOOKUP(B11,'Data Nifty'!B$11:BN$113,22,0)</f>
        <v>58960</v>
      </c>
      <c r="P11" s="18">
        <f>VLOOKUP(B11,'Data Nifty'!B$11:BN$113,23,0)</f>
        <v>59600</v>
      </c>
      <c r="Q11" s="17">
        <f>VLOOKUP(B11,'Data Nifty'!B$11:BN$113,21,0)</f>
        <v>74793</v>
      </c>
      <c r="R11" s="20" t="str">
        <f t="shared" si="5"/>
        <v>UP</v>
      </c>
      <c r="S11" s="21" t="str">
        <f t="shared" si="6"/>
        <v>Short Buildup</v>
      </c>
      <c r="T11" s="16" t="str">
        <f t="shared" si="8"/>
        <v>BULLISH</v>
      </c>
    </row>
    <row r="12" spans="1:20" x14ac:dyDescent="0.3">
      <c r="A12" s="23" t="str">
        <f t="shared" si="0"/>
        <v>CE28700</v>
      </c>
      <c r="B12" s="23" t="str">
        <f t="shared" si="1"/>
        <v>PE28700</v>
      </c>
      <c r="C12" s="2"/>
      <c r="D12" s="15" t="str">
        <f t="shared" si="7"/>
        <v>BULLISH</v>
      </c>
      <c r="E12" s="14" t="str">
        <f t="shared" si="2"/>
        <v>Long Buildup</v>
      </c>
      <c r="F12" s="15" t="str">
        <f t="shared" si="3"/>
        <v>UP</v>
      </c>
      <c r="G12" s="17">
        <f>VLOOKUP(A12,'Data Nifty'!A$11:AZ$113,6,0)</f>
        <v>111493</v>
      </c>
      <c r="H12" s="18">
        <f>VLOOKUP(A12,'Data Nifty'!A$11:AZ$113,4,0)</f>
        <v>36240</v>
      </c>
      <c r="I12" s="25">
        <f>VLOOKUP(A12,'Data Nifty'!A$11:AZ$113,5,0)</f>
        <v>3820</v>
      </c>
      <c r="J12" s="16">
        <f>VLOOKUP(A12,'Data Nifty'!A$11:AZ$113,9,0)</f>
        <v>503.85</v>
      </c>
      <c r="K12" s="16">
        <f>VLOOKUP(A12,'Data Nifty'!A$11:AZ$113,8,0)</f>
        <v>508.8</v>
      </c>
      <c r="L12" s="19">
        <f t="shared" si="4"/>
        <v>28700</v>
      </c>
      <c r="M12" s="16">
        <f>VLOOKUP(B12,'Data Nifty'!B$11:BN$113,19,0)</f>
        <v>215</v>
      </c>
      <c r="N12" s="16">
        <f>VLOOKUP(B12,'Data Nifty'!B$11:BN$113,18,0)</f>
        <v>-635</v>
      </c>
      <c r="O12" s="25">
        <f>VLOOKUP(B12,'Data Nifty'!B$11:BN$113,22,0)</f>
        <v>52060</v>
      </c>
      <c r="P12" s="18">
        <f>VLOOKUP(B12,'Data Nifty'!B$11:BN$113,23,0)</f>
        <v>52400</v>
      </c>
      <c r="Q12" s="17">
        <f>VLOOKUP(B12,'Data Nifty'!B$11:BN$113,21,0)</f>
        <v>54219</v>
      </c>
      <c r="R12" s="20" t="str">
        <f t="shared" si="5"/>
        <v>UP</v>
      </c>
      <c r="S12" s="21" t="str">
        <f t="shared" si="6"/>
        <v>Short Buildup</v>
      </c>
      <c r="T12" s="16" t="str">
        <f t="shared" si="8"/>
        <v>BULLISH</v>
      </c>
    </row>
    <row r="13" spans="1:20" x14ac:dyDescent="0.3">
      <c r="A13" s="23" t="str">
        <f t="shared" si="0"/>
        <v>CE28800</v>
      </c>
      <c r="B13" s="23" t="str">
        <f t="shared" si="1"/>
        <v>PE28800</v>
      </c>
      <c r="C13" s="2"/>
      <c r="D13" s="15" t="str">
        <f t="shared" si="7"/>
        <v>BULLISH</v>
      </c>
      <c r="E13" s="14" t="str">
        <f t="shared" si="2"/>
        <v>Long Buildup</v>
      </c>
      <c r="F13" s="15" t="str">
        <f t="shared" si="3"/>
        <v>UP</v>
      </c>
      <c r="G13" s="17">
        <f>VLOOKUP(A13,'Data Nifty'!A$11:AZ$113,6,0)</f>
        <v>144655</v>
      </c>
      <c r="H13" s="18">
        <f>VLOOKUP(A13,'Data Nifty'!A$11:AZ$113,4,0)</f>
        <v>70460</v>
      </c>
      <c r="I13" s="25">
        <f>VLOOKUP(A13,'Data Nifty'!A$11:AZ$113,5,0)</f>
        <v>40480</v>
      </c>
      <c r="J13" s="16">
        <f>VLOOKUP(A13,'Data Nifty'!A$11:AZ$113,9,0)</f>
        <v>423.35</v>
      </c>
      <c r="K13" s="16">
        <f>VLOOKUP(A13,'Data Nifty'!A$11:AZ$113,8,0)</f>
        <v>428.1</v>
      </c>
      <c r="L13" s="19">
        <f t="shared" si="4"/>
        <v>28800</v>
      </c>
      <c r="M13" s="16">
        <f>VLOOKUP(B13,'Data Nifty'!B$11:BN$113,19,0)</f>
        <v>249.4</v>
      </c>
      <c r="N13" s="16">
        <f>VLOOKUP(B13,'Data Nifty'!B$11:BN$113,18,0)</f>
        <v>-1229.95</v>
      </c>
      <c r="O13" s="25">
        <f>VLOOKUP(B13,'Data Nifty'!B$11:BN$113,22,0)</f>
        <v>60720</v>
      </c>
      <c r="P13" s="18">
        <f>VLOOKUP(B13,'Data Nifty'!B$11:BN$113,23,0)</f>
        <v>61100</v>
      </c>
      <c r="Q13" s="17">
        <f>VLOOKUP(B13,'Data Nifty'!B$11:BN$113,21,0)</f>
        <v>57707</v>
      </c>
      <c r="R13" s="20" t="str">
        <f t="shared" si="5"/>
        <v>UP</v>
      </c>
      <c r="S13" s="21" t="str">
        <f t="shared" si="6"/>
        <v>Short Buildup</v>
      </c>
      <c r="T13" s="16" t="str">
        <f t="shared" si="8"/>
        <v>BULLISH</v>
      </c>
    </row>
    <row r="14" spans="1:20" x14ac:dyDescent="0.3">
      <c r="A14" s="23" t="str">
        <f t="shared" si="0"/>
        <v>CE28900</v>
      </c>
      <c r="B14" s="23" t="str">
        <f t="shared" si="1"/>
        <v>PE28900</v>
      </c>
      <c r="C14" s="2"/>
      <c r="D14" s="15" t="str">
        <f t="shared" si="7"/>
        <v>BULLISH</v>
      </c>
      <c r="E14" s="14" t="str">
        <f t="shared" si="2"/>
        <v>Long Buildup</v>
      </c>
      <c r="F14" s="15" t="str">
        <f t="shared" si="3"/>
        <v>UP</v>
      </c>
      <c r="G14" s="17">
        <f>VLOOKUP(A14,'Data Nifty'!A$11:AZ$113,6,0)</f>
        <v>137048</v>
      </c>
      <c r="H14" s="18">
        <f>VLOOKUP(A14,'Data Nifty'!A$11:AZ$113,4,0)</f>
        <v>59240</v>
      </c>
      <c r="I14" s="25">
        <f>VLOOKUP(A14,'Data Nifty'!A$11:AZ$113,5,0)</f>
        <v>51100</v>
      </c>
      <c r="J14" s="16">
        <f>VLOOKUP(A14,'Data Nifty'!A$11:AZ$113,9,0)</f>
        <v>395.6</v>
      </c>
      <c r="K14" s="16">
        <f>VLOOKUP(A14,'Data Nifty'!A$11:AZ$113,8,0)</f>
        <v>400</v>
      </c>
      <c r="L14" s="19">
        <f t="shared" si="4"/>
        <v>28900</v>
      </c>
      <c r="M14" s="16">
        <f>VLOOKUP(B14,'Data Nifty'!B$11:BN$113,19,0)</f>
        <v>298.95</v>
      </c>
      <c r="N14" s="16">
        <f>VLOOKUP(B14,'Data Nifty'!B$11:BN$113,18,0)</f>
        <v>-1763.15</v>
      </c>
      <c r="O14" s="25">
        <f>VLOOKUP(B14,'Data Nifty'!B$11:BN$113,22,0)</f>
        <v>50220</v>
      </c>
      <c r="P14" s="18">
        <f>VLOOKUP(B14,'Data Nifty'!B$11:BN$113,23,0)</f>
        <v>50360</v>
      </c>
      <c r="Q14" s="17">
        <f>VLOOKUP(B14,'Data Nifty'!B$11:BN$113,21,0)</f>
        <v>43460</v>
      </c>
      <c r="R14" s="20" t="str">
        <f t="shared" si="5"/>
        <v>UP</v>
      </c>
      <c r="S14" s="21" t="str">
        <f t="shared" si="6"/>
        <v>Short Buildup</v>
      </c>
      <c r="T14" s="16" t="str">
        <f t="shared" si="8"/>
        <v>BULLISH</v>
      </c>
    </row>
    <row r="15" spans="1:20" ht="15.6" x14ac:dyDescent="0.3">
      <c r="A15" s="23" t="str">
        <f t="shared" si="0"/>
        <v>CE29000</v>
      </c>
      <c r="B15" s="23" t="str">
        <f t="shared" si="1"/>
        <v>PE29000</v>
      </c>
      <c r="C15" s="2"/>
      <c r="D15" s="15" t="str">
        <f t="shared" si="7"/>
        <v>BULLISH</v>
      </c>
      <c r="E15" s="14" t="str">
        <f t="shared" si="2"/>
        <v>Long Buildup</v>
      </c>
      <c r="F15" s="15" t="str">
        <f t="shared" si="3"/>
        <v>UP</v>
      </c>
      <c r="G15" s="17">
        <f>VLOOKUP(A15,'Data Nifty'!A$11:AZ$113,6,0)</f>
        <v>652066</v>
      </c>
      <c r="H15" s="18">
        <f>VLOOKUP(A15,'Data Nifty'!A$11:AZ$113,4,0)</f>
        <v>377780</v>
      </c>
      <c r="I15" s="25">
        <f>VLOOKUP(A15,'Data Nifty'!A$11:AZ$113,5,0)</f>
        <v>54900</v>
      </c>
      <c r="J15" s="16">
        <f>VLOOKUP(A15,'Data Nifty'!A$11:AZ$113,9,0)</f>
        <v>345.75</v>
      </c>
      <c r="K15" s="16">
        <f>VLOOKUP(A15,'Data Nifty'!A$11:AZ$113,8,0)</f>
        <v>350.1</v>
      </c>
      <c r="L15" s="22">
        <f>'Data Nifty'!A5</f>
        <v>29000</v>
      </c>
      <c r="M15" s="16">
        <f>VLOOKUP(B15,'Data Nifty'!B$11:BN$113,19,0)</f>
        <v>349.9</v>
      </c>
      <c r="N15" s="16">
        <f>VLOOKUP(B15,'Data Nifty'!B$11:BN$113,18,0)</f>
        <v>-1849.7</v>
      </c>
      <c r="O15" s="25">
        <f>VLOOKUP(B15,'Data Nifty'!B$11:BN$113,22,0)</f>
        <v>182820</v>
      </c>
      <c r="P15" s="18">
        <f>VLOOKUP(B15,'Data Nifty'!B$11:BN$113,23,0)</f>
        <v>286260</v>
      </c>
      <c r="Q15" s="17">
        <f>VLOOKUP(B15,'Data Nifty'!B$11:BN$113,21,0)</f>
        <v>128661</v>
      </c>
      <c r="R15" s="20" t="str">
        <f t="shared" si="5"/>
        <v>UP</v>
      </c>
      <c r="S15" s="21" t="str">
        <f t="shared" si="6"/>
        <v>Short Buildup</v>
      </c>
      <c r="T15" s="16" t="str">
        <f t="shared" si="8"/>
        <v>BULLISH</v>
      </c>
    </row>
    <row r="16" spans="1:20" x14ac:dyDescent="0.3">
      <c r="A16" s="23" t="str">
        <f t="shared" si="0"/>
        <v>CE29100</v>
      </c>
      <c r="B16" s="23" t="str">
        <f t="shared" si="1"/>
        <v>PE29100</v>
      </c>
      <c r="C16" s="2"/>
      <c r="D16" s="15" t="str">
        <f t="shared" si="7"/>
        <v>BULLISH</v>
      </c>
      <c r="E16" s="14" t="str">
        <f t="shared" si="2"/>
        <v>Long Buildup</v>
      </c>
      <c r="F16" s="15" t="str">
        <f t="shared" si="3"/>
        <v>UP</v>
      </c>
      <c r="G16" s="17">
        <f>VLOOKUP(A16,'Data Nifty'!A$11:AZ$113,6,0)</f>
        <v>128960</v>
      </c>
      <c r="H16" s="18">
        <f>VLOOKUP(A16,'Data Nifty'!A$11:AZ$113,4,0)</f>
        <v>48660</v>
      </c>
      <c r="I16" s="25">
        <f>VLOOKUP(A16,'Data Nifty'!A$11:AZ$113,5,0)</f>
        <v>42520</v>
      </c>
      <c r="J16" s="16">
        <f>VLOOKUP(A16,'Data Nifty'!A$11:AZ$113,9,0)</f>
        <v>302.45</v>
      </c>
      <c r="K16" s="16">
        <f>VLOOKUP(A16,'Data Nifty'!A$11:AZ$113,8,0)</f>
        <v>306.05</v>
      </c>
      <c r="L16" s="19">
        <f t="shared" ref="L16:L21" si="9">L15+100</f>
        <v>29100</v>
      </c>
      <c r="M16" s="16">
        <f>VLOOKUP(B16,'Data Nifty'!B$11:BN$113,19,0)</f>
        <v>412.4</v>
      </c>
      <c r="N16" s="16">
        <f>VLOOKUP(B16,'Data Nifty'!B$11:BN$113,18,0)</f>
        <v>-787.6</v>
      </c>
      <c r="O16" s="25">
        <f>VLOOKUP(B16,'Data Nifty'!B$11:BN$113,22,0)</f>
        <v>28400</v>
      </c>
      <c r="P16" s="18">
        <f>VLOOKUP(B16,'Data Nifty'!B$11:BN$113,23,0)</f>
        <v>28440</v>
      </c>
      <c r="Q16" s="17">
        <f>VLOOKUP(B16,'Data Nifty'!B$11:BN$113,21,0)</f>
        <v>18713</v>
      </c>
      <c r="R16" s="20" t="str">
        <f t="shared" si="5"/>
        <v>UP</v>
      </c>
      <c r="S16" s="21" t="str">
        <f t="shared" si="6"/>
        <v>Short Buildup</v>
      </c>
      <c r="T16" s="16" t="str">
        <f t="shared" si="8"/>
        <v>BULLISH</v>
      </c>
    </row>
    <row r="17" spans="1:20" x14ac:dyDescent="0.3">
      <c r="A17" s="23" t="str">
        <f t="shared" si="0"/>
        <v>CE29200</v>
      </c>
      <c r="B17" s="23" t="str">
        <f t="shared" si="1"/>
        <v>PE29200</v>
      </c>
      <c r="C17" s="2"/>
      <c r="D17" s="15" t="str">
        <f t="shared" si="7"/>
        <v>BULLISH</v>
      </c>
      <c r="E17" s="14" t="str">
        <f t="shared" si="2"/>
        <v>Long Buildup</v>
      </c>
      <c r="F17" s="15" t="str">
        <f t="shared" si="3"/>
        <v>UP</v>
      </c>
      <c r="G17" s="17">
        <f>VLOOKUP(A17,'Data Nifty'!A$11:AZ$113,6,0)</f>
        <v>169758</v>
      </c>
      <c r="H17" s="18">
        <f>VLOOKUP(A17,'Data Nifty'!A$11:AZ$113,4,0)</f>
        <v>71440</v>
      </c>
      <c r="I17" s="25">
        <f>VLOOKUP(A17,'Data Nifty'!A$11:AZ$113,5,0)</f>
        <v>53820</v>
      </c>
      <c r="J17" s="16">
        <f>VLOOKUP(A17,'Data Nifty'!A$11:AZ$113,9,0)</f>
        <v>264.7</v>
      </c>
      <c r="K17" s="16">
        <f>VLOOKUP(A17,'Data Nifty'!A$11:AZ$113,8,0)</f>
        <v>268.7</v>
      </c>
      <c r="L17" s="19">
        <f t="shared" si="9"/>
        <v>29200</v>
      </c>
      <c r="M17" s="16">
        <f>VLOOKUP(B17,'Data Nifty'!B$11:BN$113,19,0)</f>
        <v>455</v>
      </c>
      <c r="N17" s="16">
        <f>VLOOKUP(B17,'Data Nifty'!B$11:BN$113,18,0)</f>
        <v>-1969.1</v>
      </c>
      <c r="O17" s="25">
        <f>VLOOKUP(B17,'Data Nifty'!B$11:BN$113,22,0)</f>
        <v>22020</v>
      </c>
      <c r="P17" s="18">
        <f>VLOOKUP(B17,'Data Nifty'!B$11:BN$113,23,0)</f>
        <v>23400</v>
      </c>
      <c r="Q17" s="17">
        <f>VLOOKUP(B17,'Data Nifty'!B$11:BN$113,21,0)</f>
        <v>13927</v>
      </c>
      <c r="R17" s="20" t="str">
        <f t="shared" si="5"/>
        <v>UP</v>
      </c>
      <c r="S17" s="21" t="str">
        <f t="shared" si="6"/>
        <v>Short Buildup</v>
      </c>
      <c r="T17" s="16" t="str">
        <f t="shared" si="8"/>
        <v>BULLISH</v>
      </c>
    </row>
    <row r="18" spans="1:20" x14ac:dyDescent="0.3">
      <c r="A18" s="23" t="str">
        <f t="shared" si="0"/>
        <v>CE29300</v>
      </c>
      <c r="B18" s="23" t="str">
        <f t="shared" si="1"/>
        <v>PE29300</v>
      </c>
      <c r="C18" s="2"/>
      <c r="D18" s="15" t="str">
        <f t="shared" si="7"/>
        <v>BULLISH</v>
      </c>
      <c r="E18" s="14" t="str">
        <f t="shared" si="2"/>
        <v>Long Buildup</v>
      </c>
      <c r="F18" s="15" t="str">
        <f t="shared" si="3"/>
        <v>UP</v>
      </c>
      <c r="G18" s="17">
        <f>VLOOKUP(A18,'Data Nifty'!A$11:AZ$113,6,0)</f>
        <v>119173</v>
      </c>
      <c r="H18" s="18">
        <f>VLOOKUP(A18,'Data Nifty'!A$11:AZ$113,4,0)</f>
        <v>95600</v>
      </c>
      <c r="I18" s="25">
        <f>VLOOKUP(A18,'Data Nifty'!A$11:AZ$113,5,0)</f>
        <v>94540</v>
      </c>
      <c r="J18" s="16">
        <f>VLOOKUP(A18,'Data Nifty'!A$11:AZ$113,9,0)</f>
        <v>237.3</v>
      </c>
      <c r="K18" s="16">
        <f>VLOOKUP(A18,'Data Nifty'!A$11:AZ$113,8,0)</f>
        <v>241</v>
      </c>
      <c r="L18" s="19">
        <f t="shared" si="9"/>
        <v>29300</v>
      </c>
      <c r="M18" s="16">
        <f>VLOOKUP(B18,'Data Nifty'!B$11:BN$113,19,0)</f>
        <v>528.85</v>
      </c>
      <c r="N18" s="16">
        <f>VLOOKUP(B18,'Data Nifty'!B$11:BN$113,18,0)</f>
        <v>18.399999999999999</v>
      </c>
      <c r="O18" s="25">
        <f>VLOOKUP(B18,'Data Nifty'!B$11:BN$113,22,0)</f>
        <v>15920</v>
      </c>
      <c r="P18" s="18">
        <f>VLOOKUP(B18,'Data Nifty'!B$11:BN$113,23,0)</f>
        <v>15920</v>
      </c>
      <c r="Q18" s="17">
        <f>VLOOKUP(B18,'Data Nifty'!B$11:BN$113,21,0)</f>
        <v>6670</v>
      </c>
      <c r="R18" s="20" t="str">
        <f t="shared" si="5"/>
        <v>UP</v>
      </c>
      <c r="S18" s="21" t="str">
        <f t="shared" si="6"/>
        <v>Long Buildup</v>
      </c>
      <c r="T18" s="16" t="str">
        <f t="shared" si="8"/>
        <v>BEARISH</v>
      </c>
    </row>
    <row r="19" spans="1:20" x14ac:dyDescent="0.3">
      <c r="A19" s="23" t="str">
        <f t="shared" si="0"/>
        <v>CE29400</v>
      </c>
      <c r="B19" s="23" t="str">
        <f t="shared" si="1"/>
        <v>PE29400</v>
      </c>
      <c r="C19" s="2"/>
      <c r="D19" s="15" t="str">
        <f t="shared" si="7"/>
        <v>BULLISH</v>
      </c>
      <c r="E19" s="14" t="str">
        <f t="shared" si="2"/>
        <v>Long Buildup</v>
      </c>
      <c r="F19" s="15" t="str">
        <f t="shared" si="3"/>
        <v>UP</v>
      </c>
      <c r="G19" s="17">
        <f>VLOOKUP(A19,'Data Nifty'!A$11:AZ$113,6,0)</f>
        <v>139228</v>
      </c>
      <c r="H19" s="18">
        <f>VLOOKUP(A19,'Data Nifty'!A$11:AZ$113,4,0)</f>
        <v>80060</v>
      </c>
      <c r="I19" s="25">
        <f>VLOOKUP(A19,'Data Nifty'!A$11:AZ$113,5,0)</f>
        <v>77040</v>
      </c>
      <c r="J19" s="16">
        <f>VLOOKUP(A19,'Data Nifty'!A$11:AZ$113,9,0)</f>
        <v>239.7</v>
      </c>
      <c r="K19" s="16">
        <f>VLOOKUP(A19,'Data Nifty'!A$11:AZ$113,8,0)</f>
        <v>243</v>
      </c>
      <c r="L19" s="19">
        <f t="shared" si="9"/>
        <v>29400</v>
      </c>
      <c r="M19" s="16">
        <f>VLOOKUP(B19,'Data Nifty'!B$11:BN$113,19,0)</f>
        <v>639.29999999999995</v>
      </c>
      <c r="N19" s="16">
        <f>VLOOKUP(B19,'Data Nifty'!B$11:BN$113,18,0)</f>
        <v>-1036.05</v>
      </c>
      <c r="O19" s="25">
        <f>VLOOKUP(B19,'Data Nifty'!B$11:BN$113,22,0)</f>
        <v>9940</v>
      </c>
      <c r="P19" s="18">
        <f>VLOOKUP(B19,'Data Nifty'!B$11:BN$113,23,0)</f>
        <v>9980</v>
      </c>
      <c r="Q19" s="17">
        <f>VLOOKUP(B19,'Data Nifty'!B$11:BN$113,21,0)</f>
        <v>3109</v>
      </c>
      <c r="R19" s="20" t="str">
        <f t="shared" si="5"/>
        <v>UP</v>
      </c>
      <c r="S19" s="21" t="str">
        <f t="shared" si="6"/>
        <v>Short Buildup</v>
      </c>
      <c r="T19" s="16" t="str">
        <f t="shared" si="8"/>
        <v>BULLISH</v>
      </c>
    </row>
    <row r="20" spans="1:20" x14ac:dyDescent="0.3">
      <c r="A20" s="23" t="str">
        <f t="shared" si="0"/>
        <v>CE29500</v>
      </c>
      <c r="B20" s="23" t="str">
        <f t="shared" si="1"/>
        <v>PE29500</v>
      </c>
      <c r="C20" s="2"/>
      <c r="D20" s="15" t="str">
        <f t="shared" si="7"/>
        <v>BULLISH</v>
      </c>
      <c r="E20" s="14" t="str">
        <f t="shared" si="2"/>
        <v>Long Buildup</v>
      </c>
      <c r="F20" s="15" t="str">
        <f t="shared" si="3"/>
        <v>UP</v>
      </c>
      <c r="G20" s="17">
        <f>VLOOKUP(A20,'Data Nifty'!A$11:AZ$113,6,0)</f>
        <v>595199</v>
      </c>
      <c r="H20" s="18">
        <f>VLOOKUP(A20,'Data Nifty'!A$11:AZ$113,4,0)</f>
        <v>436300</v>
      </c>
      <c r="I20" s="25">
        <f>VLOOKUP(A20,'Data Nifty'!A$11:AZ$113,5,0)</f>
        <v>254280</v>
      </c>
      <c r="J20" s="16">
        <f>VLOOKUP(A20,'Data Nifty'!A$11:AZ$113,9,0)</f>
        <v>179.7</v>
      </c>
      <c r="K20" s="16">
        <f>VLOOKUP(A20,'Data Nifty'!A$11:AZ$113,8,0)</f>
        <v>182</v>
      </c>
      <c r="L20" s="19">
        <f t="shared" si="9"/>
        <v>29500</v>
      </c>
      <c r="M20" s="16">
        <f>VLOOKUP(B20,'Data Nifty'!B$11:BN$113,19,0)</f>
        <v>669</v>
      </c>
      <c r="N20" s="16">
        <f>VLOOKUP(B20,'Data Nifty'!B$11:BN$113,18,0)</f>
        <v>-2056.4499999999998</v>
      </c>
      <c r="O20" s="25">
        <f>VLOOKUP(B20,'Data Nifty'!B$11:BN$113,22,0)</f>
        <v>-103380</v>
      </c>
      <c r="P20" s="18">
        <f>VLOOKUP(B20,'Data Nifty'!B$11:BN$113,23,0)</f>
        <v>140820</v>
      </c>
      <c r="Q20" s="17">
        <f>VLOOKUP(B20,'Data Nifty'!B$11:BN$113,21,0)</f>
        <v>18623</v>
      </c>
      <c r="R20" s="20" t="str">
        <f t="shared" si="5"/>
        <v>DOWN</v>
      </c>
      <c r="S20" s="21" t="str">
        <f t="shared" si="6"/>
        <v>Long Liquidation</v>
      </c>
      <c r="T20" s="16" t="str">
        <f t="shared" si="8"/>
        <v>BULLISH</v>
      </c>
    </row>
    <row r="21" spans="1:20" x14ac:dyDescent="0.3">
      <c r="A21" s="23" t="str">
        <f t="shared" si="0"/>
        <v>CE29600</v>
      </c>
      <c r="B21" s="23" t="str">
        <f t="shared" si="1"/>
        <v>PE29600</v>
      </c>
      <c r="C21" s="2"/>
      <c r="D21" s="15" t="str">
        <f t="shared" si="7"/>
        <v>BULLISH</v>
      </c>
      <c r="E21" s="14" t="str">
        <f t="shared" si="2"/>
        <v>Long Buildup</v>
      </c>
      <c r="F21" s="15" t="str">
        <f t="shared" si="3"/>
        <v>UP</v>
      </c>
      <c r="G21" s="17">
        <f>VLOOKUP(A21,'Data Nifty'!A$11:AZ$113,6,0)</f>
        <v>135413</v>
      </c>
      <c r="H21" s="18">
        <f>VLOOKUP(A21,'Data Nifty'!A$11:AZ$113,4,0)</f>
        <v>64940</v>
      </c>
      <c r="I21" s="25">
        <f>VLOOKUP(A21,'Data Nifty'!A$11:AZ$113,5,0)</f>
        <v>64360</v>
      </c>
      <c r="J21" s="16">
        <f>VLOOKUP(A21,'Data Nifty'!A$11:AZ$113,9,0)</f>
        <v>156.35</v>
      </c>
      <c r="K21" s="16">
        <f>VLOOKUP(A21,'Data Nifty'!A$11:AZ$113,8,0)</f>
        <v>157.9</v>
      </c>
      <c r="L21" s="19">
        <f t="shared" si="9"/>
        <v>29600</v>
      </c>
      <c r="M21" s="16">
        <f>VLOOKUP(B21,'Data Nifty'!B$11:BN$113,19,0)</f>
        <v>785</v>
      </c>
      <c r="N21" s="16">
        <f>VLOOKUP(B21,'Data Nifty'!B$11:BN$113,18,0)</f>
        <v>363.6</v>
      </c>
      <c r="O21" s="25">
        <f>VLOOKUP(B21,'Data Nifty'!B$11:BN$113,22,0)</f>
        <v>1420</v>
      </c>
      <c r="P21" s="18">
        <f>VLOOKUP(B21,'Data Nifty'!B$11:BN$113,23,0)</f>
        <v>1420</v>
      </c>
      <c r="Q21" s="17">
        <f>VLOOKUP(B21,'Data Nifty'!B$11:BN$113,21,0)</f>
        <v>182</v>
      </c>
      <c r="R21" s="20" t="str">
        <f t="shared" si="5"/>
        <v>UP</v>
      </c>
      <c r="S21" s="21" t="str">
        <f t="shared" si="6"/>
        <v>Long Buildup</v>
      </c>
      <c r="T21" s="16" t="str">
        <f t="shared" si="8"/>
        <v>BEARISH</v>
      </c>
    </row>
    <row r="22" spans="1:20" x14ac:dyDescent="0.3">
      <c r="A22" s="23" t="str">
        <f t="shared" si="0"/>
        <v>CE29700</v>
      </c>
      <c r="B22" s="23" t="str">
        <f t="shared" si="1"/>
        <v>PE29700</v>
      </c>
      <c r="C22" s="2"/>
      <c r="D22" s="15" t="str">
        <f t="shared" si="7"/>
        <v>BEARISH</v>
      </c>
      <c r="E22" s="14" t="str">
        <f>IF(AND(J22&lt;0,I22&lt;0),"Long Liquidation",IF(AND(J22&lt;0,I22&gt;0),"Short Buildup",IF(AND(J22&gt;0,I22&gt;0),"Long Buildup",IF(AND(J22&gt;0,I22&lt;0),"Short covering"))))</f>
        <v>Short Buildup</v>
      </c>
      <c r="F22" s="15" t="str">
        <f>IF(I22&gt;0,"UP","DOWN")</f>
        <v>UP</v>
      </c>
      <c r="G22" s="17">
        <f>VLOOKUP(A22,'Data Nifty'!A$11:AZ$113,6,0)</f>
        <v>44961</v>
      </c>
      <c r="H22" s="18">
        <f>VLOOKUP(A22,'Data Nifty'!A$11:AZ$113,4,0)</f>
        <v>46920</v>
      </c>
      <c r="I22" s="25">
        <f>VLOOKUP(A22,'Data Nifty'!A$11:AZ$113,5,0)</f>
        <v>46920</v>
      </c>
      <c r="J22" s="16">
        <f>VLOOKUP(A22,'Data Nifty'!A$11:AZ$113,9,0)</f>
        <v>-2371.5500000000002</v>
      </c>
      <c r="K22" s="16">
        <f>VLOOKUP(A22,'Data Nifty'!A$11:AZ$113,8,0)</f>
        <v>136</v>
      </c>
      <c r="L22" s="19">
        <f t="shared" ref="L22" si="10">L21+100</f>
        <v>29700</v>
      </c>
      <c r="M22" s="16">
        <f>VLOOKUP(B22,'Data Nifty'!B$11:BN$113,19,0)</f>
        <v>841</v>
      </c>
      <c r="N22" s="16">
        <f>VLOOKUP(B22,'Data Nifty'!B$11:BN$113,18,0)</f>
        <v>399.3</v>
      </c>
      <c r="O22" s="25">
        <f>VLOOKUP(B22,'Data Nifty'!B$11:BN$113,22,0)</f>
        <v>280</v>
      </c>
      <c r="P22" s="18">
        <f>VLOOKUP(B22,'Data Nifty'!B$11:BN$113,23,0)</f>
        <v>280</v>
      </c>
      <c r="Q22" s="17">
        <f>VLOOKUP(B22,'Data Nifty'!B$11:BN$113,21,0)</f>
        <v>24</v>
      </c>
      <c r="R22" s="20" t="str">
        <f t="shared" si="5"/>
        <v>UP</v>
      </c>
      <c r="S22" s="21" t="str">
        <f t="shared" si="6"/>
        <v>Long Buildup</v>
      </c>
      <c r="T22" s="16" t="str">
        <f t="shared" si="8"/>
        <v>BEARISH</v>
      </c>
    </row>
    <row r="23" spans="1:20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x14ac:dyDescent="0.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1:20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0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1:20" x14ac:dyDescent="0.3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0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0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0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</sheetData>
  <dataConsolidate function="max">
    <dataRefs count="1">
      <dataRef ref="H6:H20" sheet="MAIN OI"/>
    </dataRefs>
  </dataConsolidate>
  <mergeCells count="3">
    <mergeCell ref="C1:T1"/>
    <mergeCell ref="D5:K5"/>
    <mergeCell ref="M5:T5"/>
  </mergeCells>
  <conditionalFormatting sqref="S7:S22 E7:E22">
    <cfRule type="containsText" dxfId="222" priority="31" operator="containsText" text="Short Buildup">
      <formula>NOT(ISERROR(SEARCH("Short Buildup",E7)))</formula>
    </cfRule>
    <cfRule type="containsText" dxfId="221" priority="32" operator="containsText" text="Long Liquidation">
      <formula>NOT(ISERROR(SEARCH("Long Liquidation",E7)))</formula>
    </cfRule>
    <cfRule type="containsText" dxfId="220" priority="33" operator="containsText" text="Short covering">
      <formula>NOT(ISERROR(SEARCH("Short covering",E7)))</formula>
    </cfRule>
    <cfRule type="containsText" dxfId="219" priority="34" operator="containsText" text="Long Buildup">
      <formula>NOT(ISERROR(SEARCH("Long Buildup",E7)))</formula>
    </cfRule>
  </conditionalFormatting>
  <conditionalFormatting sqref="F7:F22 R7:R22">
    <cfRule type="containsText" dxfId="218" priority="30" operator="containsText" text="DOWN">
      <formula>NOT(ISERROR(SEARCH("DOWN",F7)))</formula>
    </cfRule>
  </conditionalFormatting>
  <conditionalFormatting sqref="F7:F22 R7:R22">
    <cfRule type="containsText" dxfId="217" priority="29" operator="containsText" text="UP">
      <formula>NOT(ISERROR(SEARCH("UP",F7)))</formula>
    </cfRule>
  </conditionalFormatting>
  <conditionalFormatting sqref="J7:J22">
    <cfRule type="colorScale" priority="120">
      <colorScale>
        <cfvo type="min"/>
        <cfvo type="max"/>
        <color rgb="FFFFEF9C"/>
        <color rgb="FF63BE7B"/>
      </colorScale>
    </cfRule>
  </conditionalFormatting>
  <conditionalFormatting sqref="N7:N22">
    <cfRule type="colorScale" priority="121">
      <colorScale>
        <cfvo type="min"/>
        <cfvo type="max"/>
        <color rgb="FFFF7128"/>
        <color rgb="FFFFEF9C"/>
      </colorScale>
    </cfRule>
  </conditionalFormatting>
  <conditionalFormatting sqref="Q7:Q22">
    <cfRule type="dataBar" priority="122">
      <dataBar>
        <cfvo type="min"/>
        <cfvo type="max"/>
        <color rgb="FFFF555A"/>
      </dataBar>
    </cfRule>
  </conditionalFormatting>
  <conditionalFormatting sqref="G7:G22">
    <cfRule type="dataBar" priority="123">
      <dataBar>
        <cfvo type="min"/>
        <cfvo type="max"/>
        <color rgb="FFFF555A"/>
      </dataBar>
    </cfRule>
  </conditionalFormatting>
  <conditionalFormatting sqref="H7:H22">
    <cfRule type="top10" dxfId="216" priority="124" rank="1"/>
  </conditionalFormatting>
  <conditionalFormatting sqref="P7:P22">
    <cfRule type="top10" dxfId="215" priority="125" rank="1"/>
  </conditionalFormatting>
  <conditionalFormatting sqref="I7:I22 O7:O22">
    <cfRule type="cellIs" dxfId="214" priority="126" operator="equal">
      <formula>$H$134</formula>
    </cfRule>
  </conditionalFormatting>
  <conditionalFormatting sqref="O7:O22">
    <cfRule type="cellIs" dxfId="213" priority="128" operator="equal">
      <formula>$J$134</formula>
    </cfRule>
  </conditionalFormatting>
  <conditionalFormatting sqref="I7:I22 O7:O22">
    <cfRule type="cellIs" dxfId="212" priority="131" operator="equal">
      <formula>#REF!</formula>
    </cfRule>
  </conditionalFormatting>
  <conditionalFormatting sqref="D7:D22">
    <cfRule type="containsText" dxfId="211" priority="5" operator="containsText" text="BEARISH">
      <formula>NOT(ISERROR(SEARCH("BEARISH",D7)))</formula>
    </cfRule>
  </conditionalFormatting>
  <conditionalFormatting sqref="D7:D22">
    <cfRule type="containsText" dxfId="210" priority="4" operator="containsText" text="BULLISH">
      <formula>NOT(ISERROR(SEARCH("BULLISH",D7)))</formula>
    </cfRule>
  </conditionalFormatting>
  <conditionalFormatting sqref="T7:T22">
    <cfRule type="containsText" dxfId="209" priority="2" operator="containsText" text="BEARISH">
      <formula>NOT(ISERROR(SEARCH("BEARISH",T7)))</formula>
    </cfRule>
  </conditionalFormatting>
  <conditionalFormatting sqref="T7:T22">
    <cfRule type="containsText" dxfId="208" priority="1" operator="containsText" text="BULLISH">
      <formula>NOT(ISERROR(SEARCH("BULLISH",T7)))</formula>
    </cfRule>
  </conditionalFormatting>
  <conditionalFormatting sqref="I7:I22">
    <cfRule type="top10" dxfId="207" priority="136" rank="1"/>
    <cfRule type="cellIs" dxfId="206" priority="137" operator="equal">
      <formula>$H$132</formula>
    </cfRule>
  </conditionalFormatting>
  <conditionalFormatting sqref="O7:O22">
    <cfRule type="top10" dxfId="205" priority="139" rank="1"/>
    <cfRule type="cellIs" dxfId="204" priority="140" operator="equal">
      <formula>$H$132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Q131"/>
  <sheetViews>
    <sheetView tabSelected="1" workbookViewId="0">
      <pane ySplit="1" topLeftCell="A97" activePane="bottomLeft" state="frozen"/>
      <selection pane="bottomLeft" activeCell="F24" sqref="F24"/>
    </sheetView>
  </sheetViews>
  <sheetFormatPr defaultRowHeight="14.4" x14ac:dyDescent="0.3"/>
  <cols>
    <col min="1" max="1" width="9.109375" customWidth="1"/>
    <col min="2" max="2" width="15.6640625" bestFit="1" customWidth="1"/>
    <col min="16" max="16" width="14" customWidth="1"/>
  </cols>
  <sheetData>
    <row r="1" spans="1:17" ht="43.2" x14ac:dyDescent="0.3">
      <c r="A1" s="10" t="s">
        <v>43</v>
      </c>
      <c r="B1" s="10" t="s">
        <v>16</v>
      </c>
      <c r="C1" s="11" t="s">
        <v>17</v>
      </c>
      <c r="D1" s="11" t="s">
        <v>20</v>
      </c>
      <c r="E1" s="11" t="s">
        <v>28</v>
      </c>
      <c r="F1" s="11" t="s">
        <v>27</v>
      </c>
      <c r="G1" s="11" t="s">
        <v>29</v>
      </c>
      <c r="H1" s="11" t="s">
        <v>26</v>
      </c>
      <c r="I1" s="12" t="s">
        <v>18</v>
      </c>
      <c r="J1" s="11" t="s">
        <v>23</v>
      </c>
      <c r="K1" s="11" t="s">
        <v>22</v>
      </c>
      <c r="L1" s="11" t="s">
        <v>24</v>
      </c>
      <c r="M1" s="11" t="s">
        <v>25</v>
      </c>
      <c r="N1" s="11" t="s">
        <v>21</v>
      </c>
      <c r="O1" s="11" t="str">
        <f>C1</f>
        <v>OI change</v>
      </c>
      <c r="P1" s="13" t="str">
        <f>B1</f>
        <v>Interpretation</v>
      </c>
      <c r="Q1" s="13" t="s">
        <v>43</v>
      </c>
    </row>
    <row r="2" spans="1:17" s="42" customFormat="1" ht="15" thickBot="1" x14ac:dyDescent="0.35">
      <c r="A2" s="35"/>
      <c r="B2" s="36"/>
      <c r="C2" s="37"/>
      <c r="D2" s="38"/>
      <c r="E2" s="38"/>
      <c r="F2" s="38"/>
      <c r="G2" s="38"/>
      <c r="H2" s="38"/>
      <c r="I2" s="39"/>
      <c r="J2" s="38"/>
      <c r="K2" s="38"/>
      <c r="L2" s="38"/>
      <c r="M2" s="38"/>
      <c r="N2" s="38"/>
      <c r="O2" s="38"/>
      <c r="P2" s="40"/>
      <c r="Q2" s="41"/>
    </row>
    <row r="3" spans="1:17" s="48" customFormat="1" ht="15" thickBot="1" x14ac:dyDescent="0.35">
      <c r="A3" s="43"/>
      <c r="B3" s="44"/>
      <c r="C3" s="63" t="s">
        <v>55</v>
      </c>
      <c r="D3" s="64">
        <v>26950.35</v>
      </c>
      <c r="E3" s="52"/>
      <c r="F3" s="57" t="s">
        <v>74</v>
      </c>
      <c r="G3" s="53"/>
      <c r="H3" s="46"/>
      <c r="I3" s="47" t="s">
        <v>73</v>
      </c>
      <c r="J3" s="46"/>
      <c r="K3" s="46"/>
      <c r="L3" s="46"/>
      <c r="M3" s="46"/>
      <c r="N3" s="46"/>
      <c r="O3" s="46"/>
      <c r="P3" s="40"/>
      <c r="Q3" s="44" t="s">
        <v>62</v>
      </c>
    </row>
    <row r="4" spans="1:17" x14ac:dyDescent="0.3">
      <c r="A4" s="15" t="s">
        <v>56</v>
      </c>
      <c r="B4" s="14" t="s">
        <v>40</v>
      </c>
      <c r="C4" s="15" t="s">
        <v>59</v>
      </c>
      <c r="D4" s="17">
        <v>3009</v>
      </c>
      <c r="E4" s="18">
        <v>56580</v>
      </c>
      <c r="F4" s="25">
        <v>7020</v>
      </c>
      <c r="G4" s="16">
        <v>88.7</v>
      </c>
      <c r="H4" s="16">
        <v>560</v>
      </c>
      <c r="I4" s="19">
        <v>26500</v>
      </c>
      <c r="J4" s="16">
        <v>138</v>
      </c>
      <c r="K4" s="16">
        <v>-59.7</v>
      </c>
      <c r="L4" s="25">
        <v>103660</v>
      </c>
      <c r="M4" s="18">
        <v>425040</v>
      </c>
      <c r="N4" s="17">
        <v>53390</v>
      </c>
      <c r="O4" s="20" t="s">
        <v>59</v>
      </c>
      <c r="P4" s="21" t="s">
        <v>39</v>
      </c>
      <c r="Q4" s="16" t="s">
        <v>56</v>
      </c>
    </row>
    <row r="5" spans="1:17" x14ac:dyDescent="0.3">
      <c r="A5" s="15" t="s">
        <v>56</v>
      </c>
      <c r="B5" s="14" t="s">
        <v>40</v>
      </c>
      <c r="C5" s="15" t="s">
        <v>59</v>
      </c>
      <c r="D5" s="17">
        <v>2018</v>
      </c>
      <c r="E5" s="18">
        <v>10460</v>
      </c>
      <c r="F5" s="25">
        <v>2260</v>
      </c>
      <c r="G5" s="16">
        <v>86</v>
      </c>
      <c r="H5" s="16">
        <v>488.05</v>
      </c>
      <c r="I5" s="19">
        <v>26600</v>
      </c>
      <c r="J5" s="16">
        <v>166.65</v>
      </c>
      <c r="K5" s="16">
        <v>-64.55</v>
      </c>
      <c r="L5" s="25">
        <v>37160</v>
      </c>
      <c r="M5" s="18">
        <v>100240</v>
      </c>
      <c r="N5" s="17">
        <v>30125</v>
      </c>
      <c r="O5" s="20" t="s">
        <v>59</v>
      </c>
      <c r="P5" s="21" t="s">
        <v>39</v>
      </c>
      <c r="Q5" s="16" t="s">
        <v>56</v>
      </c>
    </row>
    <row r="6" spans="1:17" x14ac:dyDescent="0.3">
      <c r="A6" s="15" t="s">
        <v>56</v>
      </c>
      <c r="B6" s="14" t="s">
        <v>40</v>
      </c>
      <c r="C6" s="15" t="s">
        <v>59</v>
      </c>
      <c r="D6" s="17">
        <v>7672</v>
      </c>
      <c r="E6" s="18">
        <v>54100</v>
      </c>
      <c r="F6" s="25">
        <v>9040</v>
      </c>
      <c r="G6" s="16">
        <v>74.3</v>
      </c>
      <c r="H6" s="16">
        <v>424.6</v>
      </c>
      <c r="I6" s="19">
        <v>26700</v>
      </c>
      <c r="J6" s="16">
        <v>200.05</v>
      </c>
      <c r="K6" s="16">
        <v>-74.55</v>
      </c>
      <c r="L6" s="25">
        <v>83700</v>
      </c>
      <c r="M6" s="18">
        <v>172900</v>
      </c>
      <c r="N6" s="17">
        <v>29456</v>
      </c>
      <c r="O6" s="20" t="s">
        <v>59</v>
      </c>
      <c r="P6" s="21" t="s">
        <v>39</v>
      </c>
      <c r="Q6" s="16" t="s">
        <v>56</v>
      </c>
    </row>
    <row r="7" spans="1:17" x14ac:dyDescent="0.3">
      <c r="A7" s="15" t="s">
        <v>56</v>
      </c>
      <c r="B7" s="14" t="s">
        <v>40</v>
      </c>
      <c r="C7" s="15" t="s">
        <v>59</v>
      </c>
      <c r="D7" s="17">
        <v>22669</v>
      </c>
      <c r="E7" s="18">
        <v>171740</v>
      </c>
      <c r="F7" s="25">
        <v>47620</v>
      </c>
      <c r="G7" s="16">
        <v>68.7</v>
      </c>
      <c r="H7" s="16">
        <v>363.75</v>
      </c>
      <c r="I7" s="19">
        <v>26800</v>
      </c>
      <c r="J7" s="16">
        <v>237.8</v>
      </c>
      <c r="K7" s="16">
        <v>-74.849999999999994</v>
      </c>
      <c r="L7" s="25">
        <v>174620</v>
      </c>
      <c r="M7" s="18">
        <v>267520</v>
      </c>
      <c r="N7" s="17">
        <v>32922</v>
      </c>
      <c r="O7" s="20" t="s">
        <v>59</v>
      </c>
      <c r="P7" s="21" t="s">
        <v>39</v>
      </c>
      <c r="Q7" s="16" t="s">
        <v>56</v>
      </c>
    </row>
    <row r="8" spans="1:17" x14ac:dyDescent="0.3">
      <c r="A8" s="15" t="s">
        <v>56</v>
      </c>
      <c r="B8" s="14" t="s">
        <v>40</v>
      </c>
      <c r="C8" s="15" t="s">
        <v>59</v>
      </c>
      <c r="D8" s="17">
        <v>27912</v>
      </c>
      <c r="E8" s="18">
        <v>139600</v>
      </c>
      <c r="F8" s="25">
        <v>34360</v>
      </c>
      <c r="G8" s="16">
        <v>61.75</v>
      </c>
      <c r="H8" s="16">
        <v>310</v>
      </c>
      <c r="I8" s="19">
        <v>26900</v>
      </c>
      <c r="J8" s="16">
        <v>281.75</v>
      </c>
      <c r="K8" s="16">
        <v>-85.75</v>
      </c>
      <c r="L8" s="25">
        <v>33660</v>
      </c>
      <c r="M8" s="18">
        <v>94500</v>
      </c>
      <c r="N8" s="17">
        <v>14561</v>
      </c>
      <c r="O8" s="20" t="s">
        <v>59</v>
      </c>
      <c r="P8" s="21" t="s">
        <v>39</v>
      </c>
      <c r="Q8" s="16" t="s">
        <v>56</v>
      </c>
    </row>
    <row r="9" spans="1:17" ht="18" x14ac:dyDescent="0.3">
      <c r="A9" s="15" t="s">
        <v>56</v>
      </c>
      <c r="B9" s="14" t="s">
        <v>40</v>
      </c>
      <c r="C9" s="15" t="s">
        <v>59</v>
      </c>
      <c r="D9" s="17">
        <v>64145</v>
      </c>
      <c r="E9" s="18">
        <v>686820</v>
      </c>
      <c r="F9" s="25">
        <v>105960</v>
      </c>
      <c r="G9" s="16">
        <v>54.35</v>
      </c>
      <c r="H9" s="16">
        <v>259.8</v>
      </c>
      <c r="I9" s="49">
        <v>27000</v>
      </c>
      <c r="J9" s="16">
        <v>333.15</v>
      </c>
      <c r="K9" s="16">
        <v>-93.35</v>
      </c>
      <c r="L9" s="25">
        <v>32880</v>
      </c>
      <c r="M9" s="18">
        <v>583980</v>
      </c>
      <c r="N9" s="17">
        <v>22230</v>
      </c>
      <c r="O9" s="20" t="s">
        <v>59</v>
      </c>
      <c r="P9" s="21" t="s">
        <v>39</v>
      </c>
      <c r="Q9" s="16" t="s">
        <v>56</v>
      </c>
    </row>
    <row r="10" spans="1:17" x14ac:dyDescent="0.3">
      <c r="A10" s="15" t="s">
        <v>56</v>
      </c>
      <c r="B10" s="14" t="s">
        <v>40</v>
      </c>
      <c r="C10" s="15" t="s">
        <v>59</v>
      </c>
      <c r="D10" s="17">
        <v>35902</v>
      </c>
      <c r="E10" s="18">
        <v>188560</v>
      </c>
      <c r="F10" s="25">
        <v>66980</v>
      </c>
      <c r="G10" s="16">
        <v>46.6</v>
      </c>
      <c r="H10" s="16">
        <v>215.8</v>
      </c>
      <c r="I10" s="19">
        <v>27100</v>
      </c>
      <c r="J10" s="16">
        <v>390</v>
      </c>
      <c r="K10" s="16">
        <v>-90.95</v>
      </c>
      <c r="L10" s="25">
        <v>9020</v>
      </c>
      <c r="M10" s="18">
        <v>31920</v>
      </c>
      <c r="N10" s="17">
        <v>2286</v>
      </c>
      <c r="O10" s="20" t="s">
        <v>59</v>
      </c>
      <c r="P10" s="21" t="s">
        <v>39</v>
      </c>
      <c r="Q10" s="16" t="s">
        <v>56</v>
      </c>
    </row>
    <row r="11" spans="1:17" x14ac:dyDescent="0.3">
      <c r="A11" s="15" t="s">
        <v>56</v>
      </c>
      <c r="B11" s="14" t="s">
        <v>40</v>
      </c>
      <c r="C11" s="15" t="s">
        <v>59</v>
      </c>
      <c r="D11" s="17">
        <v>41139</v>
      </c>
      <c r="E11" s="18">
        <v>274860</v>
      </c>
      <c r="F11" s="25">
        <v>76020</v>
      </c>
      <c r="G11" s="16">
        <v>39.450000000000003</v>
      </c>
      <c r="H11" s="16">
        <v>176</v>
      </c>
      <c r="I11" s="19">
        <v>27200</v>
      </c>
      <c r="J11" s="16">
        <v>453.35</v>
      </c>
      <c r="K11" s="16">
        <v>-97</v>
      </c>
      <c r="L11" s="25">
        <v>9380</v>
      </c>
      <c r="M11" s="18">
        <v>48640</v>
      </c>
      <c r="N11" s="17">
        <v>1729</v>
      </c>
      <c r="O11" s="20" t="s">
        <v>59</v>
      </c>
      <c r="P11" s="21" t="s">
        <v>39</v>
      </c>
      <c r="Q11" s="16" t="s">
        <v>56</v>
      </c>
    </row>
    <row r="12" spans="1:17" x14ac:dyDescent="0.3">
      <c r="A12" s="15" t="s">
        <v>56</v>
      </c>
      <c r="B12" s="14" t="s">
        <v>40</v>
      </c>
      <c r="C12" s="15" t="s">
        <v>59</v>
      </c>
      <c r="D12" s="17">
        <v>36443</v>
      </c>
      <c r="E12" s="18">
        <v>286100</v>
      </c>
      <c r="F12" s="25">
        <v>79580</v>
      </c>
      <c r="G12" s="16">
        <v>35.75</v>
      </c>
      <c r="H12" s="16">
        <v>142.1</v>
      </c>
      <c r="I12" s="19">
        <v>27300</v>
      </c>
      <c r="J12" s="16">
        <v>523.85</v>
      </c>
      <c r="K12" s="16">
        <v>-100.15</v>
      </c>
      <c r="L12" s="25">
        <v>1380</v>
      </c>
      <c r="M12" s="18">
        <v>31400</v>
      </c>
      <c r="N12" s="17">
        <v>416</v>
      </c>
      <c r="O12" s="20" t="s">
        <v>59</v>
      </c>
      <c r="P12" s="21" t="s">
        <v>39</v>
      </c>
      <c r="Q12" s="16" t="s">
        <v>56</v>
      </c>
    </row>
    <row r="13" spans="1:17" x14ac:dyDescent="0.3">
      <c r="A13" s="15" t="s">
        <v>56</v>
      </c>
      <c r="B13" s="14" t="s">
        <v>40</v>
      </c>
      <c r="C13" s="15" t="s">
        <v>59</v>
      </c>
      <c r="D13" s="17">
        <v>27524</v>
      </c>
      <c r="E13" s="18">
        <v>192500</v>
      </c>
      <c r="F13" s="25">
        <v>38600</v>
      </c>
      <c r="G13" s="16">
        <v>28.15</v>
      </c>
      <c r="H13" s="16">
        <v>113.85</v>
      </c>
      <c r="I13" s="19">
        <v>27400</v>
      </c>
      <c r="J13" s="16">
        <v>595.4</v>
      </c>
      <c r="K13" s="16">
        <v>-110.2</v>
      </c>
      <c r="L13" s="25">
        <v>500</v>
      </c>
      <c r="M13" s="18">
        <v>11420</v>
      </c>
      <c r="N13" s="17">
        <v>183</v>
      </c>
      <c r="O13" s="20" t="s">
        <v>59</v>
      </c>
      <c r="P13" s="21" t="s">
        <v>39</v>
      </c>
      <c r="Q13" s="16" t="s">
        <v>56</v>
      </c>
    </row>
    <row r="14" spans="1:17" x14ac:dyDescent="0.3">
      <c r="A14" s="15" t="s">
        <v>56</v>
      </c>
      <c r="B14" s="14" t="s">
        <v>40</v>
      </c>
      <c r="C14" s="15" t="s">
        <v>59</v>
      </c>
      <c r="D14" s="17">
        <v>44800</v>
      </c>
      <c r="E14" s="18">
        <v>672820</v>
      </c>
      <c r="F14" s="25">
        <v>92400</v>
      </c>
      <c r="G14" s="16">
        <v>22.35</v>
      </c>
      <c r="H14" s="16">
        <v>90</v>
      </c>
      <c r="I14" s="19">
        <v>27500</v>
      </c>
      <c r="J14" s="16">
        <v>662.5</v>
      </c>
      <c r="K14" s="16">
        <v>-122.85</v>
      </c>
      <c r="L14" s="25">
        <v>1100</v>
      </c>
      <c r="M14" s="18">
        <v>268540</v>
      </c>
      <c r="N14" s="17">
        <v>588</v>
      </c>
      <c r="O14" s="20" t="s">
        <v>59</v>
      </c>
      <c r="P14" s="21" t="s">
        <v>39</v>
      </c>
      <c r="Q14" s="16" t="s">
        <v>56</v>
      </c>
    </row>
    <row r="15" spans="1:17" ht="15" thickBot="1" x14ac:dyDescent="0.35">
      <c r="A15" s="62"/>
      <c r="I15" s="58"/>
    </row>
    <row r="16" spans="1:17" s="48" customFormat="1" ht="15" thickBot="1" x14ac:dyDescent="0.35">
      <c r="A16" s="43"/>
      <c r="B16" s="44"/>
      <c r="C16" s="63" t="s">
        <v>55</v>
      </c>
      <c r="D16" s="64">
        <v>26817.15</v>
      </c>
      <c r="E16" s="52"/>
      <c r="F16" s="57" t="s">
        <v>75</v>
      </c>
      <c r="G16" s="53"/>
      <c r="H16" s="45"/>
      <c r="I16" s="59" t="s">
        <v>73</v>
      </c>
      <c r="J16" s="44"/>
      <c r="K16" s="44"/>
      <c r="L16" s="44"/>
      <c r="M16" s="44"/>
      <c r="N16" s="44"/>
      <c r="O16" s="44"/>
      <c r="P16" s="44"/>
      <c r="Q16" s="44" t="s">
        <v>61</v>
      </c>
    </row>
    <row r="17" spans="1:17" x14ac:dyDescent="0.3">
      <c r="A17" s="15" t="s">
        <v>56</v>
      </c>
      <c r="B17" s="14" t="s">
        <v>40</v>
      </c>
      <c r="C17" s="50" t="s">
        <v>59</v>
      </c>
      <c r="D17" s="51">
        <v>189</v>
      </c>
      <c r="E17" s="54">
        <v>2540</v>
      </c>
      <c r="F17" s="55">
        <v>2440</v>
      </c>
      <c r="G17" s="56">
        <v>34.549999999999997</v>
      </c>
      <c r="H17" s="16">
        <v>651.9</v>
      </c>
      <c r="I17" s="19">
        <v>26300</v>
      </c>
      <c r="J17" s="16">
        <v>118.6</v>
      </c>
      <c r="K17" s="16">
        <v>-17.100000000000001</v>
      </c>
      <c r="L17" s="25">
        <v>59100</v>
      </c>
      <c r="M17" s="18">
        <v>108080</v>
      </c>
      <c r="N17" s="17">
        <v>40907</v>
      </c>
      <c r="O17" s="16" t="s">
        <v>59</v>
      </c>
      <c r="P17" s="16" t="s">
        <v>39</v>
      </c>
      <c r="Q17" s="16" t="s">
        <v>56</v>
      </c>
    </row>
    <row r="18" spans="1:17" x14ac:dyDescent="0.3">
      <c r="A18" s="15" t="s">
        <v>56</v>
      </c>
      <c r="B18" s="14" t="s">
        <v>40</v>
      </c>
      <c r="C18" s="15" t="s">
        <v>59</v>
      </c>
      <c r="D18" s="17">
        <v>2101</v>
      </c>
      <c r="E18" s="18">
        <v>7900</v>
      </c>
      <c r="F18" s="25">
        <v>7620</v>
      </c>
      <c r="G18" s="16">
        <v>37.65</v>
      </c>
      <c r="H18" s="16">
        <v>562.1</v>
      </c>
      <c r="I18" s="19">
        <v>26400</v>
      </c>
      <c r="J18" s="56">
        <v>143.30000000000001</v>
      </c>
      <c r="K18" s="56">
        <v>-20.9</v>
      </c>
      <c r="L18" s="55">
        <v>53940</v>
      </c>
      <c r="M18" s="54">
        <v>110460</v>
      </c>
      <c r="N18" s="51">
        <v>45432</v>
      </c>
      <c r="O18" s="60" t="s">
        <v>59</v>
      </c>
      <c r="P18" s="61" t="s">
        <v>39</v>
      </c>
      <c r="Q18" s="56" t="s">
        <v>56</v>
      </c>
    </row>
    <row r="19" spans="1:17" x14ac:dyDescent="0.3">
      <c r="A19" s="15" t="s">
        <v>56</v>
      </c>
      <c r="B19" s="14" t="s">
        <v>40</v>
      </c>
      <c r="C19" s="15" t="s">
        <v>59</v>
      </c>
      <c r="D19" s="17">
        <v>4463</v>
      </c>
      <c r="E19" s="18">
        <v>58700</v>
      </c>
      <c r="F19" s="25">
        <v>9140</v>
      </c>
      <c r="G19" s="16">
        <v>34.450000000000003</v>
      </c>
      <c r="H19" s="16">
        <v>505.75</v>
      </c>
      <c r="I19" s="19">
        <v>26500</v>
      </c>
      <c r="J19" s="16">
        <v>172.45</v>
      </c>
      <c r="K19" s="16">
        <v>-25.25</v>
      </c>
      <c r="L19" s="25">
        <v>165640</v>
      </c>
      <c r="M19" s="18">
        <v>487020</v>
      </c>
      <c r="N19" s="17">
        <v>103414</v>
      </c>
      <c r="O19" s="20" t="s">
        <v>59</v>
      </c>
      <c r="P19" s="21" t="s">
        <v>39</v>
      </c>
      <c r="Q19" s="16" t="s">
        <v>56</v>
      </c>
    </row>
    <row r="20" spans="1:17" x14ac:dyDescent="0.3">
      <c r="A20" s="15" t="s">
        <v>56</v>
      </c>
      <c r="B20" s="14" t="s">
        <v>40</v>
      </c>
      <c r="C20" s="15" t="s">
        <v>59</v>
      </c>
      <c r="D20" s="17">
        <v>3022</v>
      </c>
      <c r="E20" s="18">
        <v>10600</v>
      </c>
      <c r="F20" s="25">
        <v>2400</v>
      </c>
      <c r="G20" s="16">
        <v>38.700000000000003</v>
      </c>
      <c r="H20" s="16">
        <v>440.75</v>
      </c>
      <c r="I20" s="19">
        <v>26600</v>
      </c>
      <c r="J20" s="16">
        <v>206.6</v>
      </c>
      <c r="K20" s="16">
        <v>-24.6</v>
      </c>
      <c r="L20" s="25">
        <v>46040</v>
      </c>
      <c r="M20" s="18">
        <v>109120</v>
      </c>
      <c r="N20" s="17">
        <v>48926</v>
      </c>
      <c r="O20" s="20" t="s">
        <v>59</v>
      </c>
      <c r="P20" s="21" t="s">
        <v>39</v>
      </c>
      <c r="Q20" s="16" t="s">
        <v>56</v>
      </c>
    </row>
    <row r="21" spans="1:17" x14ac:dyDescent="0.3">
      <c r="A21" s="15" t="s">
        <v>56</v>
      </c>
      <c r="B21" s="14" t="s">
        <v>40</v>
      </c>
      <c r="C21" s="15" t="s">
        <v>59</v>
      </c>
      <c r="D21" s="17">
        <v>12703</v>
      </c>
      <c r="E21" s="18">
        <v>53400</v>
      </c>
      <c r="F21" s="25">
        <v>8340</v>
      </c>
      <c r="G21" s="16">
        <v>28.5</v>
      </c>
      <c r="H21" s="16">
        <v>378.8</v>
      </c>
      <c r="I21" s="19">
        <v>26700</v>
      </c>
      <c r="J21" s="16">
        <v>245</v>
      </c>
      <c r="K21" s="16">
        <v>-29.6</v>
      </c>
      <c r="L21" s="25">
        <v>116120</v>
      </c>
      <c r="M21" s="18">
        <v>205320</v>
      </c>
      <c r="N21" s="17">
        <v>59085</v>
      </c>
      <c r="O21" s="20" t="s">
        <v>59</v>
      </c>
      <c r="P21" s="21" t="s">
        <v>39</v>
      </c>
      <c r="Q21" s="16" t="s">
        <v>56</v>
      </c>
    </row>
    <row r="22" spans="1:17" ht="18" x14ac:dyDescent="0.3">
      <c r="A22" s="15" t="s">
        <v>56</v>
      </c>
      <c r="B22" s="14" t="s">
        <v>40</v>
      </c>
      <c r="C22" s="15" t="s">
        <v>59</v>
      </c>
      <c r="D22" s="17">
        <v>34726</v>
      </c>
      <c r="E22" s="18">
        <v>171800</v>
      </c>
      <c r="F22" s="25">
        <v>47680</v>
      </c>
      <c r="G22" s="16">
        <v>27.7</v>
      </c>
      <c r="H22" s="16">
        <v>322.75</v>
      </c>
      <c r="I22" s="49">
        <v>26800</v>
      </c>
      <c r="J22" s="16">
        <v>290</v>
      </c>
      <c r="K22" s="16">
        <v>-22.65</v>
      </c>
      <c r="L22" s="25">
        <v>197480</v>
      </c>
      <c r="M22" s="18">
        <v>290380</v>
      </c>
      <c r="N22" s="17">
        <v>57972</v>
      </c>
      <c r="O22" s="20" t="s">
        <v>59</v>
      </c>
      <c r="P22" s="21" t="s">
        <v>39</v>
      </c>
      <c r="Q22" s="16" t="s">
        <v>56</v>
      </c>
    </row>
    <row r="23" spans="1:17" x14ac:dyDescent="0.3">
      <c r="A23" s="15" t="s">
        <v>56</v>
      </c>
      <c r="B23" s="14" t="s">
        <v>40</v>
      </c>
      <c r="C23" s="15" t="s">
        <v>59</v>
      </c>
      <c r="D23" s="17">
        <v>48616</v>
      </c>
      <c r="E23" s="18">
        <v>162660</v>
      </c>
      <c r="F23" s="25">
        <v>57420</v>
      </c>
      <c r="G23" s="16">
        <v>25.95</v>
      </c>
      <c r="H23" s="16">
        <v>274.2</v>
      </c>
      <c r="I23" s="19">
        <v>26900</v>
      </c>
      <c r="J23" s="16">
        <v>342.3</v>
      </c>
      <c r="K23" s="16">
        <v>-25.2</v>
      </c>
      <c r="L23" s="25">
        <v>56160</v>
      </c>
      <c r="M23" s="18">
        <v>117000</v>
      </c>
      <c r="N23" s="17">
        <v>30355</v>
      </c>
      <c r="O23" s="20" t="s">
        <v>59</v>
      </c>
      <c r="P23" s="21" t="s">
        <v>39</v>
      </c>
      <c r="Q23" s="16" t="s">
        <v>56</v>
      </c>
    </row>
    <row r="24" spans="1:17" x14ac:dyDescent="0.3">
      <c r="A24" s="15" t="s">
        <v>56</v>
      </c>
      <c r="B24" s="14" t="s">
        <v>40</v>
      </c>
      <c r="C24" s="15" t="s">
        <v>59</v>
      </c>
      <c r="D24" s="17">
        <v>109379</v>
      </c>
      <c r="E24" s="18">
        <v>671760</v>
      </c>
      <c r="F24" s="25">
        <v>90900</v>
      </c>
      <c r="G24" s="16">
        <v>25.15</v>
      </c>
      <c r="H24" s="16">
        <v>230.6</v>
      </c>
      <c r="I24" s="19">
        <v>27000</v>
      </c>
      <c r="J24" s="16">
        <v>398.2</v>
      </c>
      <c r="K24" s="16">
        <v>-28.3</v>
      </c>
      <c r="L24" s="25">
        <v>43700</v>
      </c>
      <c r="M24" s="18">
        <v>594800</v>
      </c>
      <c r="N24" s="17">
        <v>37296</v>
      </c>
      <c r="O24" s="20" t="s">
        <v>59</v>
      </c>
      <c r="P24" s="21" t="s">
        <v>39</v>
      </c>
      <c r="Q24" s="16" t="s">
        <v>56</v>
      </c>
    </row>
    <row r="25" spans="1:17" x14ac:dyDescent="0.3">
      <c r="A25" s="15" t="s">
        <v>56</v>
      </c>
      <c r="B25" s="14" t="s">
        <v>40</v>
      </c>
      <c r="C25" s="15" t="s">
        <v>59</v>
      </c>
      <c r="D25" s="17">
        <v>63569</v>
      </c>
      <c r="E25" s="18">
        <v>258440</v>
      </c>
      <c r="F25" s="25">
        <v>136860</v>
      </c>
      <c r="G25" s="16">
        <v>20.8</v>
      </c>
      <c r="H25" s="16">
        <v>190</v>
      </c>
      <c r="I25" s="19">
        <v>27100</v>
      </c>
      <c r="J25" s="16">
        <v>461</v>
      </c>
      <c r="K25" s="16">
        <v>-19.95</v>
      </c>
      <c r="L25" s="25">
        <v>8480</v>
      </c>
      <c r="M25" s="18">
        <v>31380</v>
      </c>
      <c r="N25" s="17">
        <v>4390</v>
      </c>
      <c r="O25" s="20" t="s">
        <v>59</v>
      </c>
      <c r="P25" s="21" t="s">
        <v>39</v>
      </c>
      <c r="Q25" s="16" t="s">
        <v>56</v>
      </c>
    </row>
    <row r="26" spans="1:17" x14ac:dyDescent="0.3">
      <c r="A26" s="15" t="s">
        <v>56</v>
      </c>
      <c r="B26" s="14" t="s">
        <v>40</v>
      </c>
      <c r="C26" s="15" t="s">
        <v>59</v>
      </c>
      <c r="D26" s="17">
        <v>77753</v>
      </c>
      <c r="E26" s="18">
        <v>335220</v>
      </c>
      <c r="F26" s="25">
        <v>136380</v>
      </c>
      <c r="G26" s="16">
        <v>17.8</v>
      </c>
      <c r="H26" s="16">
        <v>154.35</v>
      </c>
      <c r="I26" s="19">
        <v>27200</v>
      </c>
      <c r="J26" s="16">
        <v>521.20000000000005</v>
      </c>
      <c r="K26" s="16">
        <v>-29.15</v>
      </c>
      <c r="L26" s="25">
        <v>1180</v>
      </c>
      <c r="M26" s="18">
        <v>40440</v>
      </c>
      <c r="N26" s="17">
        <v>3694</v>
      </c>
      <c r="O26" s="20" t="s">
        <v>59</v>
      </c>
      <c r="P26" s="21" t="s">
        <v>39</v>
      </c>
      <c r="Q26" s="16" t="s">
        <v>56</v>
      </c>
    </row>
    <row r="27" spans="1:17" x14ac:dyDescent="0.3">
      <c r="A27" s="15" t="s">
        <v>56</v>
      </c>
      <c r="B27" s="14" t="s">
        <v>40</v>
      </c>
      <c r="C27" s="15" t="s">
        <v>59</v>
      </c>
      <c r="D27" s="17">
        <v>72546</v>
      </c>
      <c r="E27" s="18">
        <v>324500</v>
      </c>
      <c r="F27" s="25">
        <v>117980</v>
      </c>
      <c r="G27" s="16">
        <v>18.350000000000001</v>
      </c>
      <c r="H27" s="16">
        <v>124.7</v>
      </c>
      <c r="I27" s="19">
        <v>27300</v>
      </c>
      <c r="J27" s="16">
        <v>585.45000000000005</v>
      </c>
      <c r="K27" s="16">
        <v>-38.549999999999997</v>
      </c>
      <c r="L27" s="25">
        <v>840</v>
      </c>
      <c r="M27" s="18">
        <v>30860</v>
      </c>
      <c r="N27" s="17">
        <v>627</v>
      </c>
      <c r="O27" s="20" t="s">
        <v>59</v>
      </c>
      <c r="P27" s="21" t="s">
        <v>39</v>
      </c>
      <c r="Q27" s="16" t="s">
        <v>56</v>
      </c>
    </row>
    <row r="28" spans="1:17" ht="15" thickBot="1" x14ac:dyDescent="0.35">
      <c r="A28" s="62"/>
      <c r="I28" s="58"/>
    </row>
    <row r="29" spans="1:17" s="48" customFormat="1" ht="15" thickBot="1" x14ac:dyDescent="0.35">
      <c r="A29" s="43"/>
      <c r="B29" s="44"/>
      <c r="C29" s="63" t="s">
        <v>55</v>
      </c>
      <c r="D29" s="64">
        <v>27555.05</v>
      </c>
      <c r="E29" s="52"/>
      <c r="F29" s="57" t="s">
        <v>76</v>
      </c>
      <c r="G29" s="53"/>
      <c r="H29" s="45"/>
      <c r="I29" s="59" t="s">
        <v>73</v>
      </c>
      <c r="J29" s="44"/>
      <c r="K29" s="44"/>
      <c r="L29" s="44"/>
      <c r="M29" s="44"/>
      <c r="N29" s="44"/>
      <c r="O29" s="44"/>
      <c r="P29" s="44"/>
      <c r="Q29" s="44" t="s">
        <v>63</v>
      </c>
    </row>
    <row r="30" spans="1:17" x14ac:dyDescent="0.3">
      <c r="A30" s="15" t="s">
        <v>56</v>
      </c>
      <c r="B30" s="14" t="s">
        <v>40</v>
      </c>
      <c r="C30" s="50" t="s">
        <v>59</v>
      </c>
      <c r="D30" s="51">
        <v>136608</v>
      </c>
      <c r="E30" s="54">
        <v>143860</v>
      </c>
      <c r="F30" s="55">
        <v>22280</v>
      </c>
      <c r="G30" s="56">
        <v>344.9</v>
      </c>
      <c r="H30" s="16">
        <v>514.1</v>
      </c>
      <c r="I30" s="19">
        <v>27100</v>
      </c>
      <c r="J30" s="16">
        <v>134.75</v>
      </c>
      <c r="K30" s="16">
        <v>-346.2</v>
      </c>
      <c r="L30" s="25">
        <v>80140</v>
      </c>
      <c r="M30" s="18">
        <v>103040</v>
      </c>
      <c r="N30" s="17">
        <v>42322</v>
      </c>
      <c r="O30" s="16" t="s">
        <v>59</v>
      </c>
      <c r="P30" s="16" t="s">
        <v>39</v>
      </c>
      <c r="Q30" s="16" t="s">
        <v>56</v>
      </c>
    </row>
    <row r="31" spans="1:17" x14ac:dyDescent="0.3">
      <c r="A31" s="15" t="s">
        <v>56</v>
      </c>
      <c r="B31" s="14" t="s">
        <v>40</v>
      </c>
      <c r="C31" s="15" t="s">
        <v>59</v>
      </c>
      <c r="D31" s="17">
        <v>174022</v>
      </c>
      <c r="E31" s="18">
        <v>322360</v>
      </c>
      <c r="F31" s="25">
        <v>123520</v>
      </c>
      <c r="G31" s="16">
        <v>305.35000000000002</v>
      </c>
      <c r="H31" s="16">
        <v>441.9</v>
      </c>
      <c r="I31" s="19">
        <v>27200</v>
      </c>
      <c r="J31" s="56">
        <v>162.85</v>
      </c>
      <c r="K31" s="56">
        <v>-387.5</v>
      </c>
      <c r="L31" s="55">
        <v>62440</v>
      </c>
      <c r="M31" s="54">
        <v>101700</v>
      </c>
      <c r="N31" s="51">
        <v>36098</v>
      </c>
      <c r="O31" s="60" t="s">
        <v>59</v>
      </c>
      <c r="P31" s="61" t="s">
        <v>39</v>
      </c>
      <c r="Q31" s="56" t="s">
        <v>56</v>
      </c>
    </row>
    <row r="32" spans="1:17" x14ac:dyDescent="0.3">
      <c r="A32" s="15" t="s">
        <v>56</v>
      </c>
      <c r="B32" s="14" t="s">
        <v>40</v>
      </c>
      <c r="C32" s="15" t="s">
        <v>59</v>
      </c>
      <c r="D32" s="17">
        <v>162174</v>
      </c>
      <c r="E32" s="18">
        <v>213140</v>
      </c>
      <c r="F32" s="25">
        <v>6620</v>
      </c>
      <c r="G32" s="16">
        <v>276.95</v>
      </c>
      <c r="H32" s="16">
        <v>383.3</v>
      </c>
      <c r="I32" s="19">
        <v>27300</v>
      </c>
      <c r="J32" s="16">
        <v>196</v>
      </c>
      <c r="K32" s="16">
        <v>-428</v>
      </c>
      <c r="L32" s="25">
        <v>55920</v>
      </c>
      <c r="M32" s="18">
        <v>85940</v>
      </c>
      <c r="N32" s="17">
        <v>27301</v>
      </c>
      <c r="O32" s="20" t="s">
        <v>59</v>
      </c>
      <c r="P32" s="21" t="s">
        <v>39</v>
      </c>
      <c r="Q32" s="16" t="s">
        <v>56</v>
      </c>
    </row>
    <row r="33" spans="1:17" x14ac:dyDescent="0.3">
      <c r="A33" s="15" t="s">
        <v>56</v>
      </c>
      <c r="B33" s="14" t="s">
        <v>40</v>
      </c>
      <c r="C33" s="15" t="s">
        <v>59</v>
      </c>
      <c r="D33" s="17">
        <v>137482</v>
      </c>
      <c r="E33" s="18">
        <v>187320</v>
      </c>
      <c r="F33" s="25">
        <v>33420</v>
      </c>
      <c r="G33" s="16">
        <v>238.75</v>
      </c>
      <c r="H33" s="16">
        <v>324.45</v>
      </c>
      <c r="I33" s="19">
        <v>27400</v>
      </c>
      <c r="J33" s="16">
        <v>236.3</v>
      </c>
      <c r="K33" s="16">
        <v>-469.3</v>
      </c>
      <c r="L33" s="25">
        <v>23080</v>
      </c>
      <c r="M33" s="18">
        <v>34000</v>
      </c>
      <c r="N33" s="17">
        <v>12081</v>
      </c>
      <c r="O33" s="20" t="s">
        <v>59</v>
      </c>
      <c r="P33" s="21" t="s">
        <v>39</v>
      </c>
      <c r="Q33" s="16" t="s">
        <v>56</v>
      </c>
    </row>
    <row r="34" spans="1:17" x14ac:dyDescent="0.3">
      <c r="A34" s="15" t="s">
        <v>56</v>
      </c>
      <c r="B34" s="14" t="s">
        <v>57</v>
      </c>
      <c r="C34" s="15" t="s">
        <v>58</v>
      </c>
      <c r="D34" s="17">
        <v>257633</v>
      </c>
      <c r="E34" s="18">
        <v>560820</v>
      </c>
      <c r="F34" s="25">
        <v>-19600</v>
      </c>
      <c r="G34" s="16">
        <v>206.4</v>
      </c>
      <c r="H34" s="16">
        <v>274.05</v>
      </c>
      <c r="I34" s="19">
        <v>27500</v>
      </c>
      <c r="J34" s="16">
        <v>286.14999999999998</v>
      </c>
      <c r="K34" s="16">
        <v>-499.2</v>
      </c>
      <c r="L34" s="25">
        <v>40280</v>
      </c>
      <c r="M34" s="18">
        <v>307720</v>
      </c>
      <c r="N34" s="17">
        <v>22086</v>
      </c>
      <c r="O34" s="20" t="s">
        <v>59</v>
      </c>
      <c r="P34" s="21" t="s">
        <v>39</v>
      </c>
      <c r="Q34" s="16" t="s">
        <v>56</v>
      </c>
    </row>
    <row r="35" spans="1:17" ht="18" x14ac:dyDescent="0.3">
      <c r="A35" s="15" t="s">
        <v>56</v>
      </c>
      <c r="B35" s="14" t="s">
        <v>40</v>
      </c>
      <c r="C35" s="15" t="s">
        <v>59</v>
      </c>
      <c r="D35" s="17">
        <v>91564</v>
      </c>
      <c r="E35" s="18">
        <v>172520</v>
      </c>
      <c r="F35" s="25">
        <v>73420</v>
      </c>
      <c r="G35" s="16">
        <v>179.6</v>
      </c>
      <c r="H35" s="16">
        <v>231.25</v>
      </c>
      <c r="I35" s="49">
        <v>27600</v>
      </c>
      <c r="J35" s="16">
        <v>335.25</v>
      </c>
      <c r="K35" s="16">
        <v>-543.29999999999995</v>
      </c>
      <c r="L35" s="25">
        <v>6860</v>
      </c>
      <c r="M35" s="18">
        <v>14400</v>
      </c>
      <c r="N35" s="17">
        <v>3709</v>
      </c>
      <c r="O35" s="20" t="s">
        <v>59</v>
      </c>
      <c r="P35" s="21" t="s">
        <v>39</v>
      </c>
      <c r="Q35" s="16" t="s">
        <v>56</v>
      </c>
    </row>
    <row r="36" spans="1:17" x14ac:dyDescent="0.3">
      <c r="A36" s="15" t="s">
        <v>56</v>
      </c>
      <c r="B36" s="14" t="s">
        <v>40</v>
      </c>
      <c r="C36" s="15" t="s">
        <v>59</v>
      </c>
      <c r="D36" s="17">
        <v>78064</v>
      </c>
      <c r="E36" s="18">
        <v>220020</v>
      </c>
      <c r="F36" s="25">
        <v>55080</v>
      </c>
      <c r="G36" s="16">
        <v>154.1</v>
      </c>
      <c r="H36" s="16">
        <v>193.45</v>
      </c>
      <c r="I36" s="19">
        <v>27700</v>
      </c>
      <c r="J36" s="16">
        <v>410.4</v>
      </c>
      <c r="K36" s="16">
        <v>-515.65</v>
      </c>
      <c r="L36" s="25">
        <v>1020</v>
      </c>
      <c r="M36" s="18">
        <v>11460</v>
      </c>
      <c r="N36" s="17">
        <v>702</v>
      </c>
      <c r="O36" s="20" t="s">
        <v>59</v>
      </c>
      <c r="P36" s="21" t="s">
        <v>39</v>
      </c>
      <c r="Q36" s="16" t="s">
        <v>56</v>
      </c>
    </row>
    <row r="37" spans="1:17" x14ac:dyDescent="0.3">
      <c r="A37" s="15" t="s">
        <v>56</v>
      </c>
      <c r="B37" s="14" t="s">
        <v>40</v>
      </c>
      <c r="C37" s="15" t="s">
        <v>59</v>
      </c>
      <c r="D37" s="17">
        <v>74911</v>
      </c>
      <c r="E37" s="18">
        <v>169840</v>
      </c>
      <c r="F37" s="25">
        <v>32360</v>
      </c>
      <c r="G37" s="16">
        <v>131.9</v>
      </c>
      <c r="H37" s="16">
        <v>163.5</v>
      </c>
      <c r="I37" s="19">
        <v>27800</v>
      </c>
      <c r="J37" s="16">
        <v>483.9</v>
      </c>
      <c r="K37" s="16">
        <v>-573.85</v>
      </c>
      <c r="L37" s="25">
        <v>3520</v>
      </c>
      <c r="M37" s="18">
        <v>20920</v>
      </c>
      <c r="N37" s="17">
        <v>909</v>
      </c>
      <c r="O37" s="20" t="s">
        <v>59</v>
      </c>
      <c r="P37" s="21" t="s">
        <v>39</v>
      </c>
      <c r="Q37" s="16" t="s">
        <v>56</v>
      </c>
    </row>
    <row r="38" spans="1:17" x14ac:dyDescent="0.3">
      <c r="A38" s="15" t="s">
        <v>56</v>
      </c>
      <c r="B38" s="14" t="s">
        <v>40</v>
      </c>
      <c r="C38" s="15" t="s">
        <v>59</v>
      </c>
      <c r="D38" s="17">
        <v>43328</v>
      </c>
      <c r="E38" s="18">
        <v>128580</v>
      </c>
      <c r="F38" s="25">
        <v>60700</v>
      </c>
      <c r="G38" s="16">
        <v>112.15</v>
      </c>
      <c r="H38" s="16">
        <v>137.19999999999999</v>
      </c>
      <c r="I38" s="19">
        <v>27900</v>
      </c>
      <c r="J38" s="16">
        <v>604.5</v>
      </c>
      <c r="K38" s="16">
        <v>-549.5</v>
      </c>
      <c r="L38" s="25">
        <v>920</v>
      </c>
      <c r="M38" s="18">
        <v>5920</v>
      </c>
      <c r="N38" s="17">
        <v>405</v>
      </c>
      <c r="O38" s="20" t="s">
        <v>59</v>
      </c>
      <c r="P38" s="21" t="s">
        <v>39</v>
      </c>
      <c r="Q38" s="16" t="s">
        <v>56</v>
      </c>
    </row>
    <row r="39" spans="1:17" x14ac:dyDescent="0.3">
      <c r="A39" s="15" t="s">
        <v>56</v>
      </c>
      <c r="B39" s="14" t="s">
        <v>40</v>
      </c>
      <c r="C39" s="15" t="s">
        <v>59</v>
      </c>
      <c r="D39" s="17">
        <v>150961</v>
      </c>
      <c r="E39" s="18">
        <v>677460</v>
      </c>
      <c r="F39" s="25">
        <v>18320</v>
      </c>
      <c r="G39" s="16">
        <v>93.65</v>
      </c>
      <c r="H39" s="16">
        <v>113.45</v>
      </c>
      <c r="I39" s="19">
        <v>28000</v>
      </c>
      <c r="J39" s="16">
        <v>623.65</v>
      </c>
      <c r="K39" s="16">
        <v>-617.4</v>
      </c>
      <c r="L39" s="25">
        <v>1560</v>
      </c>
      <c r="M39" s="18">
        <v>208460</v>
      </c>
      <c r="N39" s="17">
        <v>1706</v>
      </c>
      <c r="O39" s="20" t="s">
        <v>59</v>
      </c>
      <c r="P39" s="21" t="s">
        <v>39</v>
      </c>
      <c r="Q39" s="16" t="s">
        <v>56</v>
      </c>
    </row>
    <row r="40" spans="1:17" x14ac:dyDescent="0.3">
      <c r="A40" s="15" t="s">
        <v>56</v>
      </c>
      <c r="B40" s="14" t="s">
        <v>40</v>
      </c>
      <c r="C40" s="15" t="s">
        <v>59</v>
      </c>
      <c r="D40" s="17">
        <v>36542</v>
      </c>
      <c r="E40" s="18">
        <v>111340</v>
      </c>
      <c r="F40" s="25">
        <v>49300</v>
      </c>
      <c r="G40" s="16">
        <v>80.650000000000006</v>
      </c>
      <c r="H40" s="16">
        <v>96.2</v>
      </c>
      <c r="I40" s="19">
        <v>28100</v>
      </c>
      <c r="J40" s="16">
        <v>684.05</v>
      </c>
      <c r="K40" s="16">
        <v>-628.45000000000005</v>
      </c>
      <c r="L40" s="25">
        <v>-180</v>
      </c>
      <c r="M40" s="18">
        <v>4220</v>
      </c>
      <c r="N40" s="17">
        <v>63</v>
      </c>
      <c r="O40" s="20" t="s">
        <v>58</v>
      </c>
      <c r="P40" s="21" t="s">
        <v>37</v>
      </c>
      <c r="Q40" s="16" t="s">
        <v>56</v>
      </c>
    </row>
    <row r="41" spans="1:17" ht="15" thickBot="1" x14ac:dyDescent="0.35">
      <c r="A41" s="62"/>
      <c r="I41" s="58"/>
    </row>
    <row r="42" spans="1:17" s="48" customFormat="1" ht="15" thickBot="1" x14ac:dyDescent="0.35">
      <c r="A42" s="43"/>
      <c r="B42" s="44"/>
      <c r="C42" s="63" t="s">
        <v>55</v>
      </c>
      <c r="D42" s="64">
        <v>28029.9</v>
      </c>
      <c r="E42" s="52"/>
      <c r="F42" s="57" t="s">
        <v>77</v>
      </c>
      <c r="G42" s="53"/>
      <c r="H42" s="45"/>
      <c r="I42" s="59" t="s">
        <v>73</v>
      </c>
      <c r="J42" s="44"/>
      <c r="K42" s="44"/>
      <c r="L42" s="44"/>
      <c r="M42" s="44"/>
      <c r="N42" s="44"/>
      <c r="O42" s="44"/>
      <c r="P42" s="44"/>
      <c r="Q42" s="44" t="s">
        <v>64</v>
      </c>
    </row>
    <row r="43" spans="1:17" x14ac:dyDescent="0.3">
      <c r="A43" s="15" t="s">
        <v>56</v>
      </c>
      <c r="B43" s="14" t="s">
        <v>57</v>
      </c>
      <c r="C43" s="50" t="s">
        <v>58</v>
      </c>
      <c r="D43" s="51">
        <v>333591</v>
      </c>
      <c r="E43" s="54">
        <v>517560</v>
      </c>
      <c r="F43" s="55">
        <v>-62860</v>
      </c>
      <c r="G43" s="56">
        <v>577.15</v>
      </c>
      <c r="H43" s="16">
        <v>644.79999999999995</v>
      </c>
      <c r="I43" s="19">
        <v>27500</v>
      </c>
      <c r="J43" s="16">
        <v>139.85</v>
      </c>
      <c r="K43" s="16">
        <v>-645.5</v>
      </c>
      <c r="L43" s="25">
        <v>133300</v>
      </c>
      <c r="M43" s="18">
        <v>400740</v>
      </c>
      <c r="N43" s="17">
        <v>95271</v>
      </c>
      <c r="O43" s="16" t="s">
        <v>59</v>
      </c>
      <c r="P43" s="16" t="s">
        <v>39</v>
      </c>
      <c r="Q43" s="16" t="s">
        <v>56</v>
      </c>
    </row>
    <row r="44" spans="1:17" x14ac:dyDescent="0.3">
      <c r="A44" s="15" t="s">
        <v>56</v>
      </c>
      <c r="B44" s="14" t="s">
        <v>40</v>
      </c>
      <c r="C44" s="15" t="s">
        <v>59</v>
      </c>
      <c r="D44" s="17">
        <v>127203</v>
      </c>
      <c r="E44" s="18">
        <v>151480</v>
      </c>
      <c r="F44" s="25">
        <v>52380</v>
      </c>
      <c r="G44" s="16">
        <v>523.20000000000005</v>
      </c>
      <c r="H44" s="16">
        <v>574.85</v>
      </c>
      <c r="I44" s="19">
        <v>27600</v>
      </c>
      <c r="J44" s="56">
        <v>163.19999999999999</v>
      </c>
      <c r="K44" s="56">
        <v>-715.35</v>
      </c>
      <c r="L44" s="55">
        <v>33600</v>
      </c>
      <c r="M44" s="54">
        <v>41140</v>
      </c>
      <c r="N44" s="51">
        <v>23243</v>
      </c>
      <c r="O44" s="60" t="s">
        <v>59</v>
      </c>
      <c r="P44" s="61" t="s">
        <v>39</v>
      </c>
      <c r="Q44" s="56" t="s">
        <v>56</v>
      </c>
    </row>
    <row r="45" spans="1:17" x14ac:dyDescent="0.3">
      <c r="A45" s="15" t="s">
        <v>56</v>
      </c>
      <c r="B45" s="14" t="s">
        <v>40</v>
      </c>
      <c r="C45" s="15" t="s">
        <v>59</v>
      </c>
      <c r="D45" s="17">
        <v>111383</v>
      </c>
      <c r="E45" s="18">
        <v>209900</v>
      </c>
      <c r="F45" s="25">
        <v>44960</v>
      </c>
      <c r="G45" s="16">
        <v>455.75</v>
      </c>
      <c r="H45" s="16">
        <v>495.1</v>
      </c>
      <c r="I45" s="19">
        <v>27700</v>
      </c>
      <c r="J45" s="16">
        <v>191.15</v>
      </c>
      <c r="K45" s="16">
        <v>-734.9</v>
      </c>
      <c r="L45" s="25">
        <v>3940</v>
      </c>
      <c r="M45" s="18">
        <v>14380</v>
      </c>
      <c r="N45" s="17">
        <v>12305</v>
      </c>
      <c r="O45" s="20" t="s">
        <v>59</v>
      </c>
      <c r="P45" s="21" t="s">
        <v>39</v>
      </c>
      <c r="Q45" s="16" t="s">
        <v>56</v>
      </c>
    </row>
    <row r="46" spans="1:17" x14ac:dyDescent="0.3">
      <c r="A46" s="15" t="s">
        <v>56</v>
      </c>
      <c r="B46" s="14" t="s">
        <v>40</v>
      </c>
      <c r="C46" s="15" t="s">
        <v>59</v>
      </c>
      <c r="D46" s="17">
        <v>120543</v>
      </c>
      <c r="E46" s="18">
        <v>191900</v>
      </c>
      <c r="F46" s="25">
        <v>54420</v>
      </c>
      <c r="G46" s="16">
        <v>401.25</v>
      </c>
      <c r="H46" s="16">
        <v>432.85</v>
      </c>
      <c r="I46" s="19">
        <v>27800</v>
      </c>
      <c r="J46" s="16">
        <v>229</v>
      </c>
      <c r="K46" s="16">
        <v>-828.75</v>
      </c>
      <c r="L46" s="25">
        <v>3280</v>
      </c>
      <c r="M46" s="18">
        <v>20680</v>
      </c>
      <c r="N46" s="17">
        <v>10926</v>
      </c>
      <c r="O46" s="20" t="s">
        <v>59</v>
      </c>
      <c r="P46" s="21" t="s">
        <v>39</v>
      </c>
      <c r="Q46" s="16" t="s">
        <v>56</v>
      </c>
    </row>
    <row r="47" spans="1:17" x14ac:dyDescent="0.3">
      <c r="A47" s="15" t="s">
        <v>56</v>
      </c>
      <c r="B47" s="14" t="s">
        <v>40</v>
      </c>
      <c r="C47" s="15" t="s">
        <v>59</v>
      </c>
      <c r="D47" s="17">
        <v>75533</v>
      </c>
      <c r="E47" s="18">
        <v>118000</v>
      </c>
      <c r="F47" s="25">
        <v>50120</v>
      </c>
      <c r="G47" s="16">
        <v>352.95</v>
      </c>
      <c r="H47" s="16">
        <v>378</v>
      </c>
      <c r="I47" s="19">
        <v>27900</v>
      </c>
      <c r="J47" s="16">
        <v>267.55</v>
      </c>
      <c r="K47" s="16">
        <v>-886.45</v>
      </c>
      <c r="L47" s="25">
        <v>1280</v>
      </c>
      <c r="M47" s="18">
        <v>6280</v>
      </c>
      <c r="N47" s="17">
        <v>7708</v>
      </c>
      <c r="O47" s="20" t="s">
        <v>59</v>
      </c>
      <c r="P47" s="21" t="s">
        <v>39</v>
      </c>
      <c r="Q47" s="16" t="s">
        <v>56</v>
      </c>
    </row>
    <row r="48" spans="1:17" ht="18" x14ac:dyDescent="0.3">
      <c r="A48" s="15" t="s">
        <v>56</v>
      </c>
      <c r="B48" s="14" t="s">
        <v>40</v>
      </c>
      <c r="C48" s="15" t="s">
        <v>59</v>
      </c>
      <c r="D48" s="17">
        <v>294763</v>
      </c>
      <c r="E48" s="18">
        <v>725540</v>
      </c>
      <c r="F48" s="25">
        <v>66400</v>
      </c>
      <c r="G48" s="16">
        <v>306.45</v>
      </c>
      <c r="H48" s="16">
        <v>326.25</v>
      </c>
      <c r="I48" s="49">
        <v>28000</v>
      </c>
      <c r="J48" s="16">
        <v>315.95</v>
      </c>
      <c r="K48" s="16">
        <v>-925.1</v>
      </c>
      <c r="L48" s="25">
        <v>3080</v>
      </c>
      <c r="M48" s="18">
        <v>209980</v>
      </c>
      <c r="N48" s="17">
        <v>21073</v>
      </c>
      <c r="O48" s="20" t="s">
        <v>59</v>
      </c>
      <c r="P48" s="21" t="s">
        <v>39</v>
      </c>
      <c r="Q48" s="16" t="s">
        <v>56</v>
      </c>
    </row>
    <row r="49" spans="1:17" x14ac:dyDescent="0.3">
      <c r="A49" s="15" t="s">
        <v>56</v>
      </c>
      <c r="B49" s="14" t="s">
        <v>40</v>
      </c>
      <c r="C49" s="15" t="s">
        <v>59</v>
      </c>
      <c r="D49" s="17">
        <v>72234</v>
      </c>
      <c r="E49" s="18">
        <v>135100</v>
      </c>
      <c r="F49" s="25">
        <v>73060</v>
      </c>
      <c r="G49" s="16">
        <v>264.14999999999998</v>
      </c>
      <c r="H49" s="16">
        <v>279.7</v>
      </c>
      <c r="I49" s="19">
        <v>28100</v>
      </c>
      <c r="J49" s="16">
        <v>364.45</v>
      </c>
      <c r="K49" s="16">
        <v>-948.05</v>
      </c>
      <c r="L49" s="25">
        <v>-180</v>
      </c>
      <c r="M49" s="18">
        <v>4220</v>
      </c>
      <c r="N49" s="17">
        <v>1512</v>
      </c>
      <c r="O49" s="20" t="s">
        <v>58</v>
      </c>
      <c r="P49" s="21" t="s">
        <v>37</v>
      </c>
      <c r="Q49" s="16" t="s">
        <v>56</v>
      </c>
    </row>
    <row r="50" spans="1:17" x14ac:dyDescent="0.3">
      <c r="A50" s="15" t="s">
        <v>56</v>
      </c>
      <c r="B50" s="14" t="s">
        <v>40</v>
      </c>
      <c r="C50" s="15" t="s">
        <v>59</v>
      </c>
      <c r="D50" s="17">
        <v>71742</v>
      </c>
      <c r="E50" s="18">
        <v>117060</v>
      </c>
      <c r="F50" s="25">
        <v>44900</v>
      </c>
      <c r="G50" s="16">
        <v>223.8</v>
      </c>
      <c r="H50" s="16">
        <v>237.05</v>
      </c>
      <c r="I50" s="19">
        <v>28200</v>
      </c>
      <c r="J50" s="16">
        <v>424.15</v>
      </c>
      <c r="K50" s="16">
        <v>-998.3</v>
      </c>
      <c r="L50" s="25" t="s">
        <v>14</v>
      </c>
      <c r="M50" s="18">
        <v>3920</v>
      </c>
      <c r="N50" s="17">
        <v>384</v>
      </c>
      <c r="O50" s="20" t="s">
        <v>59</v>
      </c>
      <c r="P50" s="21" t="s">
        <v>39</v>
      </c>
      <c r="Q50" s="16" t="s">
        <v>56</v>
      </c>
    </row>
    <row r="51" spans="1:17" x14ac:dyDescent="0.3">
      <c r="A51" s="15" t="s">
        <v>56</v>
      </c>
      <c r="B51" s="14" t="s">
        <v>40</v>
      </c>
      <c r="C51" s="15" t="s">
        <v>59</v>
      </c>
      <c r="D51" s="17">
        <v>55151</v>
      </c>
      <c r="E51" s="18">
        <v>79960</v>
      </c>
      <c r="F51" s="25">
        <v>14080</v>
      </c>
      <c r="G51" s="16">
        <v>190.15</v>
      </c>
      <c r="H51" s="16">
        <v>201</v>
      </c>
      <c r="I51" s="19">
        <v>28300</v>
      </c>
      <c r="J51" s="16">
        <v>500</v>
      </c>
      <c r="K51" s="16">
        <v>-954.95</v>
      </c>
      <c r="L51" s="25">
        <v>20</v>
      </c>
      <c r="M51" s="18">
        <v>2120</v>
      </c>
      <c r="N51" s="17">
        <v>54</v>
      </c>
      <c r="O51" s="20" t="s">
        <v>59</v>
      </c>
      <c r="P51" s="21" t="s">
        <v>39</v>
      </c>
      <c r="Q51" s="16" t="s">
        <v>56</v>
      </c>
    </row>
    <row r="52" spans="1:17" x14ac:dyDescent="0.3">
      <c r="A52" s="15" t="s">
        <v>56</v>
      </c>
      <c r="B52" s="14" t="s">
        <v>40</v>
      </c>
      <c r="C52" s="15" t="s">
        <v>59</v>
      </c>
      <c r="D52" s="17">
        <v>45597</v>
      </c>
      <c r="E52" s="18">
        <v>66100</v>
      </c>
      <c r="F52" s="25">
        <v>30260</v>
      </c>
      <c r="G52" s="16">
        <v>159.9</v>
      </c>
      <c r="H52" s="16">
        <v>168.6</v>
      </c>
      <c r="I52" s="19">
        <v>28400</v>
      </c>
      <c r="J52" s="16">
        <v>570</v>
      </c>
      <c r="K52" s="16">
        <v>-1116.4000000000001</v>
      </c>
      <c r="L52" s="25">
        <v>80</v>
      </c>
      <c r="M52" s="18">
        <v>320</v>
      </c>
      <c r="N52" s="17">
        <v>49</v>
      </c>
      <c r="O52" s="20" t="s">
        <v>59</v>
      </c>
      <c r="P52" s="21" t="s">
        <v>39</v>
      </c>
      <c r="Q52" s="16" t="s">
        <v>56</v>
      </c>
    </row>
    <row r="53" spans="1:17" x14ac:dyDescent="0.3">
      <c r="A53" s="15" t="s">
        <v>56</v>
      </c>
      <c r="B53" s="14" t="s">
        <v>40</v>
      </c>
      <c r="C53" s="15" t="s">
        <v>59</v>
      </c>
      <c r="D53" s="17">
        <v>165717</v>
      </c>
      <c r="E53" s="18">
        <v>520520</v>
      </c>
      <c r="F53" s="25">
        <v>89940</v>
      </c>
      <c r="G53" s="16">
        <v>134.4</v>
      </c>
      <c r="H53" s="16">
        <v>142.19999999999999</v>
      </c>
      <c r="I53" s="19">
        <v>28500</v>
      </c>
      <c r="J53" s="16">
        <v>631.45000000000005</v>
      </c>
      <c r="K53" s="16">
        <v>-1089.5</v>
      </c>
      <c r="L53" s="25">
        <v>400</v>
      </c>
      <c r="M53" s="18">
        <v>17900</v>
      </c>
      <c r="N53" s="17">
        <v>650</v>
      </c>
      <c r="O53" s="20" t="s">
        <v>59</v>
      </c>
      <c r="P53" s="21" t="s">
        <v>39</v>
      </c>
      <c r="Q53" s="16" t="s">
        <v>56</v>
      </c>
    </row>
    <row r="54" spans="1:17" ht="15" thickBot="1" x14ac:dyDescent="0.35">
      <c r="A54" s="62"/>
      <c r="I54" s="58"/>
    </row>
    <row r="55" spans="1:17" s="48" customFormat="1" ht="15" thickBot="1" x14ac:dyDescent="0.35">
      <c r="A55" s="43"/>
      <c r="B55" s="44"/>
      <c r="C55" s="63" t="s">
        <v>55</v>
      </c>
      <c r="D55" s="64">
        <v>28340.15</v>
      </c>
      <c r="E55" s="52"/>
      <c r="F55" s="57" t="s">
        <v>78</v>
      </c>
      <c r="G55" s="53"/>
      <c r="H55" s="45"/>
      <c r="I55" s="59" t="s">
        <v>73</v>
      </c>
      <c r="J55" s="44"/>
      <c r="K55" s="44"/>
      <c r="L55" s="44"/>
      <c r="M55" s="44"/>
      <c r="N55" s="44"/>
      <c r="O55" s="44"/>
      <c r="P55" s="44"/>
      <c r="Q55" s="44" t="s">
        <v>65</v>
      </c>
    </row>
    <row r="56" spans="1:17" x14ac:dyDescent="0.3">
      <c r="A56" s="15" t="s">
        <v>56</v>
      </c>
      <c r="B56" s="14" t="s">
        <v>40</v>
      </c>
      <c r="C56" s="50" t="s">
        <v>59</v>
      </c>
      <c r="D56" s="51">
        <v>126907</v>
      </c>
      <c r="E56" s="54">
        <v>191900</v>
      </c>
      <c r="F56" s="55">
        <v>54420</v>
      </c>
      <c r="G56" s="56">
        <v>622.29999999999995</v>
      </c>
      <c r="H56" s="16">
        <v>653.9</v>
      </c>
      <c r="I56" s="19">
        <v>27800</v>
      </c>
      <c r="J56" s="16">
        <v>186.55</v>
      </c>
      <c r="K56" s="16">
        <v>-871.2</v>
      </c>
      <c r="L56" s="25">
        <v>3280</v>
      </c>
      <c r="M56" s="18">
        <v>20680</v>
      </c>
      <c r="N56" s="17">
        <v>24418</v>
      </c>
      <c r="O56" s="16" t="s">
        <v>59</v>
      </c>
      <c r="P56" s="16" t="s">
        <v>39</v>
      </c>
      <c r="Q56" s="16" t="s">
        <v>56</v>
      </c>
    </row>
    <row r="57" spans="1:17" x14ac:dyDescent="0.3">
      <c r="A57" s="15" t="s">
        <v>56</v>
      </c>
      <c r="B57" s="14" t="s">
        <v>40</v>
      </c>
      <c r="C57" s="15" t="s">
        <v>59</v>
      </c>
      <c r="D57" s="17">
        <v>81266</v>
      </c>
      <c r="E57" s="18">
        <v>118000</v>
      </c>
      <c r="F57" s="25">
        <v>50120</v>
      </c>
      <c r="G57" s="16">
        <v>563.95000000000005</v>
      </c>
      <c r="H57" s="16">
        <v>589</v>
      </c>
      <c r="I57" s="19">
        <v>27900</v>
      </c>
      <c r="J57" s="56">
        <v>217.6</v>
      </c>
      <c r="K57" s="56">
        <v>-936.4</v>
      </c>
      <c r="L57" s="55">
        <v>1280</v>
      </c>
      <c r="M57" s="54">
        <v>6280</v>
      </c>
      <c r="N57" s="51">
        <v>18748</v>
      </c>
      <c r="O57" s="60" t="s">
        <v>59</v>
      </c>
      <c r="P57" s="61" t="s">
        <v>39</v>
      </c>
      <c r="Q57" s="56" t="s">
        <v>56</v>
      </c>
    </row>
    <row r="58" spans="1:17" x14ac:dyDescent="0.3">
      <c r="A58" s="15" t="s">
        <v>56</v>
      </c>
      <c r="B58" s="14" t="s">
        <v>40</v>
      </c>
      <c r="C58" s="15" t="s">
        <v>59</v>
      </c>
      <c r="D58" s="17">
        <v>340434</v>
      </c>
      <c r="E58" s="18">
        <v>725540</v>
      </c>
      <c r="F58" s="25">
        <v>66400</v>
      </c>
      <c r="G58" s="16">
        <v>508.5</v>
      </c>
      <c r="H58" s="16">
        <v>528.29999999999995</v>
      </c>
      <c r="I58" s="19">
        <v>28000</v>
      </c>
      <c r="J58" s="16">
        <v>252.75</v>
      </c>
      <c r="K58" s="16">
        <v>-988.3</v>
      </c>
      <c r="L58" s="25">
        <v>3080</v>
      </c>
      <c r="M58" s="18">
        <v>209980</v>
      </c>
      <c r="N58" s="17">
        <v>68154</v>
      </c>
      <c r="O58" s="20" t="s">
        <v>59</v>
      </c>
      <c r="P58" s="21" t="s">
        <v>39</v>
      </c>
      <c r="Q58" s="16" t="s">
        <v>56</v>
      </c>
    </row>
    <row r="59" spans="1:17" x14ac:dyDescent="0.3">
      <c r="A59" s="15" t="s">
        <v>56</v>
      </c>
      <c r="B59" s="14" t="s">
        <v>40</v>
      </c>
      <c r="C59" s="15" t="s">
        <v>59</v>
      </c>
      <c r="D59" s="17">
        <v>85410</v>
      </c>
      <c r="E59" s="18">
        <v>135100</v>
      </c>
      <c r="F59" s="25">
        <v>73060</v>
      </c>
      <c r="G59" s="16">
        <v>457.15</v>
      </c>
      <c r="H59" s="16">
        <v>472.7</v>
      </c>
      <c r="I59" s="19">
        <v>28100</v>
      </c>
      <c r="J59" s="16">
        <v>297.64999999999998</v>
      </c>
      <c r="K59" s="16">
        <v>-1014.85</v>
      </c>
      <c r="L59" s="25">
        <v>-180</v>
      </c>
      <c r="M59" s="18">
        <v>4220</v>
      </c>
      <c r="N59" s="17">
        <v>7558</v>
      </c>
      <c r="O59" s="20" t="s">
        <v>58</v>
      </c>
      <c r="P59" s="21" t="s">
        <v>37</v>
      </c>
      <c r="Q59" s="16" t="s">
        <v>56</v>
      </c>
    </row>
    <row r="60" spans="1:17" x14ac:dyDescent="0.3">
      <c r="A60" s="15" t="s">
        <v>56</v>
      </c>
      <c r="B60" s="14" t="s">
        <v>40</v>
      </c>
      <c r="C60" s="15" t="s">
        <v>59</v>
      </c>
      <c r="D60" s="17">
        <v>91158</v>
      </c>
      <c r="E60" s="18">
        <v>117060</v>
      </c>
      <c r="F60" s="25">
        <v>44900</v>
      </c>
      <c r="G60" s="16">
        <v>409.1</v>
      </c>
      <c r="H60" s="16">
        <v>422.35</v>
      </c>
      <c r="I60" s="19">
        <v>28200</v>
      </c>
      <c r="J60" s="16">
        <v>344.1</v>
      </c>
      <c r="K60" s="16">
        <v>-1078.3499999999999</v>
      </c>
      <c r="L60" s="25" t="s">
        <v>14</v>
      </c>
      <c r="M60" s="18">
        <v>3920</v>
      </c>
      <c r="N60" s="17">
        <v>6772</v>
      </c>
      <c r="O60" s="20" t="s">
        <v>59</v>
      </c>
      <c r="P60" s="21" t="s">
        <v>39</v>
      </c>
      <c r="Q60" s="16" t="s">
        <v>56</v>
      </c>
    </row>
    <row r="61" spans="1:17" ht="18" x14ac:dyDescent="0.3">
      <c r="A61" s="15" t="s">
        <v>56</v>
      </c>
      <c r="B61" s="14" t="s">
        <v>40</v>
      </c>
      <c r="C61" s="15" t="s">
        <v>59</v>
      </c>
      <c r="D61" s="17">
        <v>74800</v>
      </c>
      <c r="E61" s="18">
        <v>79960</v>
      </c>
      <c r="F61" s="25">
        <v>14080</v>
      </c>
      <c r="G61" s="16">
        <v>365.1</v>
      </c>
      <c r="H61" s="16">
        <v>375.95</v>
      </c>
      <c r="I61" s="49">
        <v>28300</v>
      </c>
      <c r="J61" s="16">
        <v>398.9</v>
      </c>
      <c r="K61" s="16">
        <v>-1056.05</v>
      </c>
      <c r="L61" s="25">
        <v>20</v>
      </c>
      <c r="M61" s="18">
        <v>2120</v>
      </c>
      <c r="N61" s="17">
        <v>4060</v>
      </c>
      <c r="O61" s="20" t="s">
        <v>59</v>
      </c>
      <c r="P61" s="21" t="s">
        <v>39</v>
      </c>
      <c r="Q61" s="16" t="s">
        <v>56</v>
      </c>
    </row>
    <row r="62" spans="1:17" x14ac:dyDescent="0.3">
      <c r="A62" s="15" t="s">
        <v>56</v>
      </c>
      <c r="B62" s="14" t="s">
        <v>40</v>
      </c>
      <c r="C62" s="15" t="s">
        <v>59</v>
      </c>
      <c r="D62" s="17">
        <v>64383</v>
      </c>
      <c r="E62" s="18">
        <v>66100</v>
      </c>
      <c r="F62" s="25">
        <v>30260</v>
      </c>
      <c r="G62" s="16">
        <v>325.75</v>
      </c>
      <c r="H62" s="16">
        <v>334.45</v>
      </c>
      <c r="I62" s="19">
        <v>28400</v>
      </c>
      <c r="J62" s="16">
        <v>463.15</v>
      </c>
      <c r="K62" s="16">
        <v>-1223.25</v>
      </c>
      <c r="L62" s="25">
        <v>80</v>
      </c>
      <c r="M62" s="18">
        <v>320</v>
      </c>
      <c r="N62" s="17">
        <v>3398</v>
      </c>
      <c r="O62" s="20" t="s">
        <v>59</v>
      </c>
      <c r="P62" s="21" t="s">
        <v>39</v>
      </c>
      <c r="Q62" s="16" t="s">
        <v>56</v>
      </c>
    </row>
    <row r="63" spans="1:17" x14ac:dyDescent="0.3">
      <c r="A63" s="15" t="s">
        <v>56</v>
      </c>
      <c r="B63" s="14" t="s">
        <v>40</v>
      </c>
      <c r="C63" s="15" t="s">
        <v>59</v>
      </c>
      <c r="D63" s="17">
        <v>243183</v>
      </c>
      <c r="E63" s="18">
        <v>520520</v>
      </c>
      <c r="F63" s="25">
        <v>89940</v>
      </c>
      <c r="G63" s="16">
        <v>288.75</v>
      </c>
      <c r="H63" s="16">
        <v>296.55</v>
      </c>
      <c r="I63" s="19">
        <v>28500</v>
      </c>
      <c r="J63" s="16">
        <v>513.75</v>
      </c>
      <c r="K63" s="16">
        <v>-1207.2</v>
      </c>
      <c r="L63" s="25">
        <v>400</v>
      </c>
      <c r="M63" s="18">
        <v>17900</v>
      </c>
      <c r="N63" s="17">
        <v>7415</v>
      </c>
      <c r="O63" s="20" t="s">
        <v>59</v>
      </c>
      <c r="P63" s="21" t="s">
        <v>39</v>
      </c>
      <c r="Q63" s="16" t="s">
        <v>56</v>
      </c>
    </row>
    <row r="64" spans="1:17" x14ac:dyDescent="0.3">
      <c r="A64" s="15" t="s">
        <v>56</v>
      </c>
      <c r="B64" s="14" t="s">
        <v>40</v>
      </c>
      <c r="C64" s="15" t="s">
        <v>59</v>
      </c>
      <c r="D64" s="17">
        <v>49936</v>
      </c>
      <c r="E64" s="18">
        <v>51460</v>
      </c>
      <c r="F64" s="25">
        <v>18480</v>
      </c>
      <c r="G64" s="16">
        <v>253.45</v>
      </c>
      <c r="H64" s="16">
        <v>260</v>
      </c>
      <c r="I64" s="19">
        <v>28600</v>
      </c>
      <c r="J64" s="16">
        <v>600</v>
      </c>
      <c r="K64" s="16">
        <v>-1200</v>
      </c>
      <c r="L64" s="25" t="s">
        <v>14</v>
      </c>
      <c r="M64" s="18">
        <v>640</v>
      </c>
      <c r="N64" s="17">
        <v>232</v>
      </c>
      <c r="O64" s="20" t="s">
        <v>59</v>
      </c>
      <c r="P64" s="21" t="s">
        <v>39</v>
      </c>
      <c r="Q64" s="16" t="s">
        <v>56</v>
      </c>
    </row>
    <row r="65" spans="1:17" x14ac:dyDescent="0.3">
      <c r="A65" s="15" t="s">
        <v>56</v>
      </c>
      <c r="B65" s="14" t="s">
        <v>57</v>
      </c>
      <c r="C65" s="15" t="s">
        <v>58</v>
      </c>
      <c r="D65" s="17">
        <v>42955</v>
      </c>
      <c r="E65" s="18">
        <v>27480</v>
      </c>
      <c r="F65" s="25">
        <v>-4940</v>
      </c>
      <c r="G65" s="16">
        <v>223.65</v>
      </c>
      <c r="H65" s="16">
        <v>228.6</v>
      </c>
      <c r="I65" s="19">
        <v>28700</v>
      </c>
      <c r="J65" s="16">
        <v>709.2</v>
      </c>
      <c r="K65" s="16">
        <v>-140.80000000000001</v>
      </c>
      <c r="L65" s="25" t="s">
        <v>14</v>
      </c>
      <c r="M65" s="18">
        <v>340</v>
      </c>
      <c r="N65" s="17">
        <v>83</v>
      </c>
      <c r="O65" s="20" t="s">
        <v>59</v>
      </c>
      <c r="P65" s="21" t="s">
        <v>39</v>
      </c>
      <c r="Q65" s="16" t="s">
        <v>56</v>
      </c>
    </row>
    <row r="66" spans="1:17" x14ac:dyDescent="0.3">
      <c r="A66" s="15" t="s">
        <v>56</v>
      </c>
      <c r="B66" s="14" t="s">
        <v>40</v>
      </c>
      <c r="C66" s="15" t="s">
        <v>59</v>
      </c>
      <c r="D66" s="17">
        <v>40025</v>
      </c>
      <c r="E66" s="18">
        <v>38720</v>
      </c>
      <c r="F66" s="25">
        <v>8740</v>
      </c>
      <c r="G66" s="16">
        <v>196.35</v>
      </c>
      <c r="H66" s="16">
        <v>201.1</v>
      </c>
      <c r="I66" s="19">
        <v>28800</v>
      </c>
      <c r="J66" s="16">
        <v>700</v>
      </c>
      <c r="K66" s="16">
        <v>-779.35</v>
      </c>
      <c r="L66" s="25" t="s">
        <v>14</v>
      </c>
      <c r="M66" s="18">
        <v>380</v>
      </c>
      <c r="N66" s="17">
        <v>33</v>
      </c>
      <c r="O66" s="20" t="s">
        <v>59</v>
      </c>
      <c r="P66" s="21" t="s">
        <v>39</v>
      </c>
      <c r="Q66" s="16" t="s">
        <v>56</v>
      </c>
    </row>
    <row r="67" spans="1:17" ht="15" thickBot="1" x14ac:dyDescent="0.35">
      <c r="A67" s="62"/>
      <c r="I67" s="58"/>
    </row>
    <row r="68" spans="1:17" s="48" customFormat="1" ht="15" thickBot="1" x14ac:dyDescent="0.35">
      <c r="A68" s="43"/>
      <c r="B68" s="44"/>
      <c r="C68" s="63" t="s">
        <v>55</v>
      </c>
      <c r="D68" s="64">
        <v>28729.5</v>
      </c>
      <c r="E68" s="52"/>
      <c r="F68" s="57" t="s">
        <v>79</v>
      </c>
      <c r="G68" s="53"/>
      <c r="H68" s="45"/>
      <c r="I68" s="59" t="s">
        <v>73</v>
      </c>
      <c r="J68" s="44"/>
      <c r="K68" s="44"/>
      <c r="L68" s="44"/>
      <c r="M68" s="44"/>
      <c r="N68" s="44"/>
      <c r="O68" s="44"/>
      <c r="P68" s="44"/>
      <c r="Q68" s="44" t="s">
        <v>66</v>
      </c>
    </row>
    <row r="69" spans="1:17" x14ac:dyDescent="0.3">
      <c r="A69" s="15" t="s">
        <v>56</v>
      </c>
      <c r="B69" s="14" t="s">
        <v>57</v>
      </c>
      <c r="C69" s="50" t="s">
        <v>58</v>
      </c>
      <c r="D69" s="51">
        <v>107510</v>
      </c>
      <c r="E69" s="54">
        <v>50420</v>
      </c>
      <c r="F69" s="55">
        <v>-21740</v>
      </c>
      <c r="G69" s="56">
        <v>711.2</v>
      </c>
      <c r="H69" s="16">
        <v>724.45</v>
      </c>
      <c r="I69" s="19">
        <v>28200</v>
      </c>
      <c r="J69" s="16">
        <v>223.65</v>
      </c>
      <c r="K69" s="16">
        <v>-1198.8</v>
      </c>
      <c r="L69" s="25">
        <v>81180</v>
      </c>
      <c r="M69" s="18">
        <v>85100</v>
      </c>
      <c r="N69" s="17">
        <v>35924</v>
      </c>
      <c r="O69" s="16" t="s">
        <v>59</v>
      </c>
      <c r="P69" s="16" t="s">
        <v>39</v>
      </c>
      <c r="Q69" s="16" t="s">
        <v>56</v>
      </c>
    </row>
    <row r="70" spans="1:17" x14ac:dyDescent="0.3">
      <c r="A70" s="15" t="s">
        <v>56</v>
      </c>
      <c r="B70" s="14" t="s">
        <v>57</v>
      </c>
      <c r="C70" s="15" t="s">
        <v>58</v>
      </c>
      <c r="D70" s="17">
        <v>95776</v>
      </c>
      <c r="E70" s="18">
        <v>54820</v>
      </c>
      <c r="F70" s="25">
        <v>-11060</v>
      </c>
      <c r="G70" s="16">
        <v>644.54999999999995</v>
      </c>
      <c r="H70" s="16">
        <v>655.4</v>
      </c>
      <c r="I70" s="19">
        <v>28300</v>
      </c>
      <c r="J70" s="56">
        <v>255.8</v>
      </c>
      <c r="K70" s="56">
        <v>-1199.1500000000001</v>
      </c>
      <c r="L70" s="55">
        <v>78720</v>
      </c>
      <c r="M70" s="54">
        <v>80820</v>
      </c>
      <c r="N70" s="51">
        <v>32674</v>
      </c>
      <c r="O70" s="60" t="s">
        <v>59</v>
      </c>
      <c r="P70" s="61" t="s">
        <v>39</v>
      </c>
      <c r="Q70" s="56" t="s">
        <v>56</v>
      </c>
    </row>
    <row r="71" spans="1:17" x14ac:dyDescent="0.3">
      <c r="A71" s="15" t="s">
        <v>56</v>
      </c>
      <c r="B71" s="14" t="s">
        <v>40</v>
      </c>
      <c r="C71" s="15" t="s">
        <v>59</v>
      </c>
      <c r="D71" s="17">
        <v>88126</v>
      </c>
      <c r="E71" s="18">
        <v>77880</v>
      </c>
      <c r="F71" s="25">
        <v>42040</v>
      </c>
      <c r="G71" s="16">
        <v>583.1</v>
      </c>
      <c r="H71" s="16">
        <v>591.79999999999995</v>
      </c>
      <c r="I71" s="19">
        <v>28400</v>
      </c>
      <c r="J71" s="16">
        <v>294.55</v>
      </c>
      <c r="K71" s="16">
        <v>-1391.85</v>
      </c>
      <c r="L71" s="25">
        <v>63080</v>
      </c>
      <c r="M71" s="18">
        <v>63320</v>
      </c>
      <c r="N71" s="17">
        <v>26172</v>
      </c>
      <c r="O71" s="20" t="s">
        <v>59</v>
      </c>
      <c r="P71" s="21" t="s">
        <v>39</v>
      </c>
      <c r="Q71" s="16" t="s">
        <v>56</v>
      </c>
    </row>
    <row r="72" spans="1:17" x14ac:dyDescent="0.3">
      <c r="A72" s="15" t="s">
        <v>56</v>
      </c>
      <c r="B72" s="14" t="s">
        <v>40</v>
      </c>
      <c r="C72" s="15" t="s">
        <v>59</v>
      </c>
      <c r="D72" s="17">
        <v>359382</v>
      </c>
      <c r="E72" s="18">
        <v>435760</v>
      </c>
      <c r="F72" s="25">
        <v>5180</v>
      </c>
      <c r="G72" s="16">
        <v>514.04999999999995</v>
      </c>
      <c r="H72" s="16">
        <v>521.85</v>
      </c>
      <c r="I72" s="19">
        <v>28500</v>
      </c>
      <c r="J72" s="16">
        <v>332</v>
      </c>
      <c r="K72" s="16">
        <v>-1388.95</v>
      </c>
      <c r="L72" s="25">
        <v>374100</v>
      </c>
      <c r="M72" s="18">
        <v>391600</v>
      </c>
      <c r="N72" s="17">
        <v>93673</v>
      </c>
      <c r="O72" s="20" t="s">
        <v>59</v>
      </c>
      <c r="P72" s="21" t="s">
        <v>39</v>
      </c>
      <c r="Q72" s="16" t="s">
        <v>56</v>
      </c>
    </row>
    <row r="73" spans="1:17" x14ac:dyDescent="0.3">
      <c r="A73" s="15" t="s">
        <v>56</v>
      </c>
      <c r="B73" s="14" t="s">
        <v>40</v>
      </c>
      <c r="C73" s="15" t="s">
        <v>59</v>
      </c>
      <c r="D73" s="17">
        <v>94150</v>
      </c>
      <c r="E73" s="18">
        <v>62520</v>
      </c>
      <c r="F73" s="25">
        <v>29540</v>
      </c>
      <c r="G73" s="16">
        <v>465.55</v>
      </c>
      <c r="H73" s="16">
        <v>472.1</v>
      </c>
      <c r="I73" s="19">
        <v>28600</v>
      </c>
      <c r="J73" s="16">
        <v>376.3</v>
      </c>
      <c r="K73" s="16">
        <v>-1423.7</v>
      </c>
      <c r="L73" s="25">
        <v>44380</v>
      </c>
      <c r="M73" s="18">
        <v>45020</v>
      </c>
      <c r="N73" s="17">
        <v>17443</v>
      </c>
      <c r="O73" s="20" t="s">
        <v>59</v>
      </c>
      <c r="P73" s="21" t="s">
        <v>39</v>
      </c>
      <c r="Q73" s="16" t="s">
        <v>56</v>
      </c>
    </row>
    <row r="74" spans="1:17" ht="18" x14ac:dyDescent="0.3">
      <c r="A74" s="15" t="s">
        <v>56</v>
      </c>
      <c r="B74" s="14" t="s">
        <v>40</v>
      </c>
      <c r="C74" s="15" t="s">
        <v>59</v>
      </c>
      <c r="D74" s="17">
        <v>90616</v>
      </c>
      <c r="E74" s="18">
        <v>83920</v>
      </c>
      <c r="F74" s="25">
        <v>51500</v>
      </c>
      <c r="G74" s="16">
        <v>418.5</v>
      </c>
      <c r="H74" s="16">
        <v>423.45</v>
      </c>
      <c r="I74" s="49">
        <v>28700</v>
      </c>
      <c r="J74" s="16">
        <v>428.05</v>
      </c>
      <c r="K74" s="16">
        <v>-421.95</v>
      </c>
      <c r="L74" s="25">
        <v>39060</v>
      </c>
      <c r="M74" s="18">
        <v>39400</v>
      </c>
      <c r="N74" s="17">
        <v>10999</v>
      </c>
      <c r="O74" s="20" t="s">
        <v>59</v>
      </c>
      <c r="P74" s="21" t="s">
        <v>39</v>
      </c>
      <c r="Q74" s="16" t="s">
        <v>56</v>
      </c>
    </row>
    <row r="75" spans="1:17" x14ac:dyDescent="0.3">
      <c r="A75" s="15" t="s">
        <v>56</v>
      </c>
      <c r="B75" s="14" t="s">
        <v>40</v>
      </c>
      <c r="C75" s="15" t="s">
        <v>59</v>
      </c>
      <c r="D75" s="17">
        <v>98785</v>
      </c>
      <c r="E75" s="18">
        <v>111660</v>
      </c>
      <c r="F75" s="25">
        <v>81680</v>
      </c>
      <c r="G75" s="16">
        <v>371.65</v>
      </c>
      <c r="H75" s="16">
        <v>376.4</v>
      </c>
      <c r="I75" s="19">
        <v>28800</v>
      </c>
      <c r="J75" s="16">
        <v>482</v>
      </c>
      <c r="K75" s="16">
        <v>-997.35</v>
      </c>
      <c r="L75" s="25">
        <v>21940</v>
      </c>
      <c r="M75" s="18">
        <v>22320</v>
      </c>
      <c r="N75" s="17">
        <v>7828</v>
      </c>
      <c r="O75" s="20" t="s">
        <v>59</v>
      </c>
      <c r="P75" s="21" t="s">
        <v>39</v>
      </c>
      <c r="Q75" s="16" t="s">
        <v>56</v>
      </c>
    </row>
    <row r="76" spans="1:17" x14ac:dyDescent="0.3">
      <c r="A76" s="15" t="s">
        <v>56</v>
      </c>
      <c r="B76" s="14" t="s">
        <v>40</v>
      </c>
      <c r="C76" s="15" t="s">
        <v>59</v>
      </c>
      <c r="D76" s="17">
        <v>83603</v>
      </c>
      <c r="E76" s="18">
        <v>74440</v>
      </c>
      <c r="F76" s="25">
        <v>66300</v>
      </c>
      <c r="G76" s="16">
        <v>333.55</v>
      </c>
      <c r="H76" s="16">
        <v>337.95</v>
      </c>
      <c r="I76" s="19">
        <v>28900</v>
      </c>
      <c r="J76" s="16">
        <v>541.9</v>
      </c>
      <c r="K76" s="16">
        <v>-1520.2</v>
      </c>
      <c r="L76" s="25">
        <v>4880</v>
      </c>
      <c r="M76" s="18">
        <v>5020</v>
      </c>
      <c r="N76" s="17">
        <v>1524</v>
      </c>
      <c r="O76" s="20" t="s">
        <v>59</v>
      </c>
      <c r="P76" s="21" t="s">
        <v>39</v>
      </c>
      <c r="Q76" s="16" t="s">
        <v>56</v>
      </c>
    </row>
    <row r="77" spans="1:17" x14ac:dyDescent="0.3">
      <c r="A77" s="15" t="s">
        <v>56</v>
      </c>
      <c r="B77" s="14" t="s">
        <v>40</v>
      </c>
      <c r="C77" s="15" t="s">
        <v>59</v>
      </c>
      <c r="D77" s="17">
        <v>399625</v>
      </c>
      <c r="E77" s="18">
        <v>549160</v>
      </c>
      <c r="F77" s="25">
        <v>226280</v>
      </c>
      <c r="G77" s="16">
        <v>289.89999999999998</v>
      </c>
      <c r="H77" s="16">
        <v>294.25</v>
      </c>
      <c r="I77" s="19">
        <v>29000</v>
      </c>
      <c r="J77" s="16">
        <v>596.5</v>
      </c>
      <c r="K77" s="16">
        <v>-1603.1</v>
      </c>
      <c r="L77" s="25">
        <v>780</v>
      </c>
      <c r="M77" s="18">
        <v>104220</v>
      </c>
      <c r="N77" s="17">
        <v>11254</v>
      </c>
      <c r="O77" s="20" t="s">
        <v>59</v>
      </c>
      <c r="P77" s="21" t="s">
        <v>39</v>
      </c>
      <c r="Q77" s="16" t="s">
        <v>56</v>
      </c>
    </row>
    <row r="78" spans="1:17" x14ac:dyDescent="0.3">
      <c r="A78" s="15" t="s">
        <v>56</v>
      </c>
      <c r="B78" s="14" t="s">
        <v>40</v>
      </c>
      <c r="C78" s="15" t="s">
        <v>59</v>
      </c>
      <c r="D78" s="17">
        <v>66712</v>
      </c>
      <c r="E78" s="18">
        <v>53160</v>
      </c>
      <c r="F78" s="25">
        <v>47020</v>
      </c>
      <c r="G78" s="16">
        <v>262</v>
      </c>
      <c r="H78" s="16">
        <v>265.60000000000002</v>
      </c>
      <c r="I78" s="19">
        <v>29100</v>
      </c>
      <c r="J78" s="16">
        <v>673</v>
      </c>
      <c r="K78" s="16">
        <v>-527</v>
      </c>
      <c r="L78" s="25">
        <v>280</v>
      </c>
      <c r="M78" s="18">
        <v>320</v>
      </c>
      <c r="N78" s="17">
        <v>36</v>
      </c>
      <c r="O78" s="20" t="s">
        <v>59</v>
      </c>
      <c r="P78" s="21" t="s">
        <v>39</v>
      </c>
      <c r="Q78" s="16" t="s">
        <v>56</v>
      </c>
    </row>
    <row r="79" spans="1:17" x14ac:dyDescent="0.3">
      <c r="A79" s="15" t="s">
        <v>56</v>
      </c>
      <c r="B79" s="14" t="s">
        <v>40</v>
      </c>
      <c r="C79" s="15" t="s">
        <v>59</v>
      </c>
      <c r="D79" s="17">
        <v>75016</v>
      </c>
      <c r="E79" s="18">
        <v>94320</v>
      </c>
      <c r="F79" s="25">
        <v>76700</v>
      </c>
      <c r="G79" s="16">
        <v>232.9</v>
      </c>
      <c r="H79" s="16">
        <v>236.9</v>
      </c>
      <c r="I79" s="19">
        <v>29200</v>
      </c>
      <c r="J79" s="16">
        <v>710</v>
      </c>
      <c r="K79" s="16">
        <v>-1714.1</v>
      </c>
      <c r="L79" s="25">
        <v>-60</v>
      </c>
      <c r="M79" s="18">
        <v>1320</v>
      </c>
      <c r="N79" s="17">
        <v>64</v>
      </c>
      <c r="O79" s="20" t="s">
        <v>58</v>
      </c>
      <c r="P79" s="21" t="s">
        <v>37</v>
      </c>
      <c r="Q79" s="16" t="s">
        <v>56</v>
      </c>
    </row>
    <row r="80" spans="1:17" ht="15" thickBot="1" x14ac:dyDescent="0.35">
      <c r="A80" s="62"/>
      <c r="I80" s="58"/>
    </row>
    <row r="81" spans="1:17" s="48" customFormat="1" ht="15" thickBot="1" x14ac:dyDescent="0.35">
      <c r="A81" s="43"/>
      <c r="B81" s="44"/>
      <c r="C81" s="63" t="s">
        <v>55</v>
      </c>
      <c r="D81" s="64">
        <v>28790.799999999999</v>
      </c>
      <c r="E81" s="52"/>
      <c r="F81" s="57" t="s">
        <v>80</v>
      </c>
      <c r="G81" s="53"/>
      <c r="H81" s="45"/>
      <c r="I81" s="59" t="s">
        <v>73</v>
      </c>
      <c r="J81" s="44"/>
      <c r="K81" s="44"/>
      <c r="L81" s="44"/>
      <c r="M81" s="44"/>
      <c r="N81" s="44"/>
      <c r="O81" s="44"/>
      <c r="P81" s="44"/>
      <c r="Q81" s="44" t="s">
        <v>67</v>
      </c>
    </row>
    <row r="82" spans="1:17" x14ac:dyDescent="0.3">
      <c r="A82" s="15" t="s">
        <v>56</v>
      </c>
      <c r="B82" s="14" t="s">
        <v>57</v>
      </c>
      <c r="C82" s="50" t="s">
        <v>58</v>
      </c>
      <c r="D82" s="51">
        <v>95902</v>
      </c>
      <c r="E82" s="54">
        <v>55100</v>
      </c>
      <c r="F82" s="55">
        <v>-10780</v>
      </c>
      <c r="G82" s="56">
        <v>667.15</v>
      </c>
      <c r="H82" s="16">
        <v>678</v>
      </c>
      <c r="I82" s="19">
        <v>28300</v>
      </c>
      <c r="J82" s="16">
        <v>238.4</v>
      </c>
      <c r="K82" s="16">
        <v>-1216.55</v>
      </c>
      <c r="L82" s="25">
        <v>81540</v>
      </c>
      <c r="M82" s="18">
        <v>83640</v>
      </c>
      <c r="N82" s="17">
        <v>33960</v>
      </c>
      <c r="O82" s="16" t="s">
        <v>59</v>
      </c>
      <c r="P82" s="16" t="s">
        <v>39</v>
      </c>
      <c r="Q82" s="16" t="s">
        <v>56</v>
      </c>
    </row>
    <row r="83" spans="1:17" x14ac:dyDescent="0.3">
      <c r="A83" s="15" t="s">
        <v>56</v>
      </c>
      <c r="B83" s="14" t="s">
        <v>40</v>
      </c>
      <c r="C83" s="15" t="s">
        <v>59</v>
      </c>
      <c r="D83" s="17">
        <v>88450</v>
      </c>
      <c r="E83" s="18">
        <v>74420</v>
      </c>
      <c r="F83" s="25">
        <v>38580</v>
      </c>
      <c r="G83" s="16">
        <v>600.9</v>
      </c>
      <c r="H83" s="16">
        <v>609.6</v>
      </c>
      <c r="I83" s="19">
        <v>28400</v>
      </c>
      <c r="J83" s="56">
        <v>274.3</v>
      </c>
      <c r="K83" s="56">
        <v>-1412.1</v>
      </c>
      <c r="L83" s="55">
        <v>65040</v>
      </c>
      <c r="M83" s="54">
        <v>65280</v>
      </c>
      <c r="N83" s="51">
        <v>27402</v>
      </c>
      <c r="O83" s="60" t="s">
        <v>59</v>
      </c>
      <c r="P83" s="61" t="s">
        <v>39</v>
      </c>
      <c r="Q83" s="56" t="s">
        <v>56</v>
      </c>
    </row>
    <row r="84" spans="1:17" x14ac:dyDescent="0.3">
      <c r="A84" s="15" t="s">
        <v>56</v>
      </c>
      <c r="B84" s="14" t="s">
        <v>40</v>
      </c>
      <c r="C84" s="15" t="s">
        <v>59</v>
      </c>
      <c r="D84" s="17">
        <v>361834</v>
      </c>
      <c r="E84" s="18">
        <v>442980</v>
      </c>
      <c r="F84" s="25">
        <v>12400</v>
      </c>
      <c r="G84" s="16">
        <v>542.20000000000005</v>
      </c>
      <c r="H84" s="16">
        <v>550</v>
      </c>
      <c r="I84" s="19">
        <v>28500</v>
      </c>
      <c r="J84" s="16">
        <v>310.10000000000002</v>
      </c>
      <c r="K84" s="16">
        <v>-1410.85</v>
      </c>
      <c r="L84" s="25">
        <v>388520</v>
      </c>
      <c r="M84" s="18">
        <v>406020</v>
      </c>
      <c r="N84" s="17">
        <v>97359</v>
      </c>
      <c r="O84" s="20" t="s">
        <v>59</v>
      </c>
      <c r="P84" s="21" t="s">
        <v>39</v>
      </c>
      <c r="Q84" s="16" t="s">
        <v>56</v>
      </c>
    </row>
    <row r="85" spans="1:17" x14ac:dyDescent="0.3">
      <c r="A85" s="15" t="s">
        <v>56</v>
      </c>
      <c r="B85" s="14" t="s">
        <v>40</v>
      </c>
      <c r="C85" s="15" t="s">
        <v>59</v>
      </c>
      <c r="D85" s="17">
        <v>94839</v>
      </c>
      <c r="E85" s="18">
        <v>58360</v>
      </c>
      <c r="F85" s="25">
        <v>25380</v>
      </c>
      <c r="G85" s="16">
        <v>486.55</v>
      </c>
      <c r="H85" s="16">
        <v>493.1</v>
      </c>
      <c r="I85" s="19">
        <v>28600</v>
      </c>
      <c r="J85" s="16">
        <v>355.45</v>
      </c>
      <c r="K85" s="16">
        <v>-1444.55</v>
      </c>
      <c r="L85" s="25">
        <v>47040</v>
      </c>
      <c r="M85" s="18">
        <v>47680</v>
      </c>
      <c r="N85" s="17">
        <v>18740</v>
      </c>
      <c r="O85" s="20" t="s">
        <v>59</v>
      </c>
      <c r="P85" s="21" t="s">
        <v>39</v>
      </c>
      <c r="Q85" s="16" t="s">
        <v>56</v>
      </c>
    </row>
    <row r="86" spans="1:17" x14ac:dyDescent="0.3">
      <c r="A86" s="15" t="s">
        <v>56</v>
      </c>
      <c r="B86" s="14" t="s">
        <v>40</v>
      </c>
      <c r="C86" s="15" t="s">
        <v>59</v>
      </c>
      <c r="D86" s="17">
        <v>91817</v>
      </c>
      <c r="E86" s="18">
        <v>85960</v>
      </c>
      <c r="F86" s="25">
        <v>53540</v>
      </c>
      <c r="G86" s="16">
        <v>439.9</v>
      </c>
      <c r="H86" s="16">
        <v>444.85</v>
      </c>
      <c r="I86" s="19">
        <v>28700</v>
      </c>
      <c r="J86" s="16">
        <v>402.7</v>
      </c>
      <c r="K86" s="16">
        <v>-447.3</v>
      </c>
      <c r="L86" s="25">
        <v>40600</v>
      </c>
      <c r="M86" s="18">
        <v>40940</v>
      </c>
      <c r="N86" s="17">
        <v>12003</v>
      </c>
      <c r="O86" s="20" t="s">
        <v>59</v>
      </c>
      <c r="P86" s="21" t="s">
        <v>39</v>
      </c>
      <c r="Q86" s="16" t="s">
        <v>56</v>
      </c>
    </row>
    <row r="87" spans="1:17" ht="18" x14ac:dyDescent="0.3">
      <c r="A87" s="15" t="s">
        <v>56</v>
      </c>
      <c r="B87" s="14" t="s">
        <v>40</v>
      </c>
      <c r="C87" s="15" t="s">
        <v>59</v>
      </c>
      <c r="D87" s="17">
        <v>100431</v>
      </c>
      <c r="E87" s="18">
        <v>111120</v>
      </c>
      <c r="F87" s="25">
        <v>81140</v>
      </c>
      <c r="G87" s="16">
        <v>392.25</v>
      </c>
      <c r="H87" s="16">
        <v>397</v>
      </c>
      <c r="I87" s="49">
        <v>28800</v>
      </c>
      <c r="J87" s="16">
        <v>455</v>
      </c>
      <c r="K87" s="16">
        <v>-1024.3499999999999</v>
      </c>
      <c r="L87" s="25">
        <v>23120</v>
      </c>
      <c r="M87" s="18">
        <v>23500</v>
      </c>
      <c r="N87" s="17">
        <v>8161</v>
      </c>
      <c r="O87" s="20" t="s">
        <v>59</v>
      </c>
      <c r="P87" s="21" t="s">
        <v>39</v>
      </c>
      <c r="Q87" s="16" t="s">
        <v>56</v>
      </c>
    </row>
    <row r="88" spans="1:17" x14ac:dyDescent="0.3">
      <c r="A88" s="15" t="s">
        <v>56</v>
      </c>
      <c r="B88" s="14" t="s">
        <v>40</v>
      </c>
      <c r="C88" s="15" t="s">
        <v>59</v>
      </c>
      <c r="D88" s="17">
        <v>84681</v>
      </c>
      <c r="E88" s="18">
        <v>75160</v>
      </c>
      <c r="F88" s="25">
        <v>67020</v>
      </c>
      <c r="G88" s="16">
        <v>349.5</v>
      </c>
      <c r="H88" s="16">
        <v>353.9</v>
      </c>
      <c r="I88" s="19">
        <v>28900</v>
      </c>
      <c r="J88" s="16">
        <v>512.65</v>
      </c>
      <c r="K88" s="16">
        <v>-1549.45</v>
      </c>
      <c r="L88" s="25">
        <v>5380</v>
      </c>
      <c r="M88" s="18">
        <v>5520</v>
      </c>
      <c r="N88" s="17">
        <v>1577</v>
      </c>
      <c r="O88" s="20" t="s">
        <v>59</v>
      </c>
      <c r="P88" s="21" t="s">
        <v>39</v>
      </c>
      <c r="Q88" s="16" t="s">
        <v>56</v>
      </c>
    </row>
    <row r="89" spans="1:17" x14ac:dyDescent="0.3">
      <c r="A89" s="15" t="s">
        <v>56</v>
      </c>
      <c r="B89" s="14" t="s">
        <v>40</v>
      </c>
      <c r="C89" s="15" t="s">
        <v>59</v>
      </c>
      <c r="D89" s="17">
        <v>406993</v>
      </c>
      <c r="E89" s="18">
        <v>543780</v>
      </c>
      <c r="F89" s="25">
        <v>220900</v>
      </c>
      <c r="G89" s="16">
        <v>309.64999999999998</v>
      </c>
      <c r="H89" s="16">
        <v>314</v>
      </c>
      <c r="I89" s="19">
        <v>29000</v>
      </c>
      <c r="J89" s="16">
        <v>570.85</v>
      </c>
      <c r="K89" s="16">
        <v>-1628.75</v>
      </c>
      <c r="L89" s="25">
        <v>-3180</v>
      </c>
      <c r="M89" s="18">
        <v>100260</v>
      </c>
      <c r="N89" s="17">
        <v>11922</v>
      </c>
      <c r="O89" s="20" t="s">
        <v>58</v>
      </c>
      <c r="P89" s="21" t="s">
        <v>37</v>
      </c>
      <c r="Q89" s="16" t="s">
        <v>56</v>
      </c>
    </row>
    <row r="90" spans="1:17" x14ac:dyDescent="0.3">
      <c r="A90" s="15" t="s">
        <v>56</v>
      </c>
      <c r="B90" s="14" t="s">
        <v>40</v>
      </c>
      <c r="C90" s="15" t="s">
        <v>59</v>
      </c>
      <c r="D90" s="17">
        <v>68040</v>
      </c>
      <c r="E90" s="18">
        <v>57620</v>
      </c>
      <c r="F90" s="25">
        <v>51480</v>
      </c>
      <c r="G90" s="16">
        <v>275.39999999999998</v>
      </c>
      <c r="H90" s="16">
        <v>279</v>
      </c>
      <c r="I90" s="19">
        <v>29100</v>
      </c>
      <c r="J90" s="16">
        <v>673</v>
      </c>
      <c r="K90" s="16">
        <v>-527</v>
      </c>
      <c r="L90" s="25">
        <v>280</v>
      </c>
      <c r="M90" s="18">
        <v>320</v>
      </c>
      <c r="N90" s="17">
        <v>36</v>
      </c>
      <c r="O90" s="20" t="s">
        <v>59</v>
      </c>
      <c r="P90" s="21" t="s">
        <v>39</v>
      </c>
      <c r="Q90" s="16" t="s">
        <v>56</v>
      </c>
    </row>
    <row r="91" spans="1:17" x14ac:dyDescent="0.3">
      <c r="A91" s="15" t="s">
        <v>56</v>
      </c>
      <c r="B91" s="14" t="s">
        <v>40</v>
      </c>
      <c r="C91" s="15" t="s">
        <v>59</v>
      </c>
      <c r="D91" s="17">
        <v>76810</v>
      </c>
      <c r="E91" s="18">
        <v>91860</v>
      </c>
      <c r="F91" s="25">
        <v>74240</v>
      </c>
      <c r="G91" s="16">
        <v>243.15</v>
      </c>
      <c r="H91" s="16">
        <v>247.15</v>
      </c>
      <c r="I91" s="19">
        <v>29200</v>
      </c>
      <c r="J91" s="16">
        <v>700</v>
      </c>
      <c r="K91" s="16">
        <v>-1724.1</v>
      </c>
      <c r="L91" s="25">
        <v>-100</v>
      </c>
      <c r="M91" s="18">
        <v>1280</v>
      </c>
      <c r="N91" s="17">
        <v>66</v>
      </c>
      <c r="O91" s="20" t="s">
        <v>58</v>
      </c>
      <c r="P91" s="21" t="s">
        <v>37</v>
      </c>
      <c r="Q91" s="16" t="s">
        <v>56</v>
      </c>
    </row>
    <row r="92" spans="1:17" x14ac:dyDescent="0.3">
      <c r="A92" s="15" t="s">
        <v>56</v>
      </c>
      <c r="B92" s="14" t="s">
        <v>40</v>
      </c>
      <c r="C92" s="15" t="s">
        <v>59</v>
      </c>
      <c r="D92" s="17">
        <v>48540</v>
      </c>
      <c r="E92" s="18">
        <v>72600</v>
      </c>
      <c r="F92" s="25">
        <v>71540</v>
      </c>
      <c r="G92" s="16">
        <v>213.8</v>
      </c>
      <c r="H92" s="16">
        <v>217.5</v>
      </c>
      <c r="I92" s="19">
        <v>29300</v>
      </c>
      <c r="J92" s="16">
        <v>770</v>
      </c>
      <c r="K92" s="16">
        <v>259.55</v>
      </c>
      <c r="L92" s="25">
        <v>800</v>
      </c>
      <c r="M92" s="18">
        <v>800</v>
      </c>
      <c r="N92" s="17">
        <v>90</v>
      </c>
      <c r="O92" s="20" t="s">
        <v>59</v>
      </c>
      <c r="P92" s="21" t="s">
        <v>40</v>
      </c>
      <c r="Q92" s="16" t="s">
        <v>72</v>
      </c>
    </row>
    <row r="93" spans="1:17" ht="15" thickBot="1" x14ac:dyDescent="0.35">
      <c r="A93" s="62"/>
      <c r="I93" s="58"/>
    </row>
    <row r="94" spans="1:17" s="48" customFormat="1" ht="15" thickBot="1" x14ac:dyDescent="0.35">
      <c r="A94" s="43"/>
      <c r="B94" s="44"/>
      <c r="C94" s="63" t="s">
        <v>55</v>
      </c>
      <c r="D94" s="64">
        <v>29007.5</v>
      </c>
      <c r="E94" s="52"/>
      <c r="F94" s="57" t="s">
        <v>81</v>
      </c>
      <c r="G94" s="53"/>
      <c r="H94" s="45"/>
      <c r="I94" s="59" t="s">
        <v>73</v>
      </c>
      <c r="J94" s="44"/>
      <c r="K94" s="44"/>
      <c r="L94" s="44"/>
      <c r="M94" s="44"/>
      <c r="N94" s="44"/>
      <c r="O94" s="44"/>
      <c r="P94" s="44"/>
      <c r="Q94" s="44" t="s">
        <v>68</v>
      </c>
    </row>
    <row r="95" spans="1:17" x14ac:dyDescent="0.3">
      <c r="A95" s="15" t="s">
        <v>56</v>
      </c>
      <c r="B95" s="14" t="s">
        <v>40</v>
      </c>
      <c r="C95" s="50" t="s">
        <v>59</v>
      </c>
      <c r="D95" s="51">
        <v>378379</v>
      </c>
      <c r="E95" s="54">
        <v>435340</v>
      </c>
      <c r="F95" s="55">
        <v>4760</v>
      </c>
      <c r="G95" s="56">
        <v>702.1</v>
      </c>
      <c r="H95" s="16">
        <v>709.9</v>
      </c>
      <c r="I95" s="19">
        <v>28500</v>
      </c>
      <c r="J95" s="16">
        <v>220.5</v>
      </c>
      <c r="K95" s="16">
        <v>-1500.45</v>
      </c>
      <c r="L95" s="25">
        <v>424580</v>
      </c>
      <c r="M95" s="18">
        <v>442080</v>
      </c>
      <c r="N95" s="17">
        <v>129855</v>
      </c>
      <c r="O95" s="16" t="s">
        <v>59</v>
      </c>
      <c r="P95" s="16" t="s">
        <v>39</v>
      </c>
      <c r="Q95" s="16" t="s">
        <v>56</v>
      </c>
    </row>
    <row r="96" spans="1:17" x14ac:dyDescent="0.3">
      <c r="A96" s="15" t="s">
        <v>56</v>
      </c>
      <c r="B96" s="14" t="s">
        <v>40</v>
      </c>
      <c r="C96" s="15" t="s">
        <v>59</v>
      </c>
      <c r="D96" s="17">
        <v>101354</v>
      </c>
      <c r="E96" s="18">
        <v>39680</v>
      </c>
      <c r="F96" s="25">
        <v>6700</v>
      </c>
      <c r="G96" s="16">
        <v>626.95000000000005</v>
      </c>
      <c r="H96" s="16">
        <v>633.5</v>
      </c>
      <c r="I96" s="19">
        <v>28600</v>
      </c>
      <c r="J96" s="56">
        <v>254.05</v>
      </c>
      <c r="K96" s="56">
        <v>-1545.95</v>
      </c>
      <c r="L96" s="55">
        <v>50140</v>
      </c>
      <c r="M96" s="54">
        <v>50780</v>
      </c>
      <c r="N96" s="51">
        <v>28397</v>
      </c>
      <c r="O96" s="60" t="s">
        <v>59</v>
      </c>
      <c r="P96" s="61" t="s">
        <v>39</v>
      </c>
      <c r="Q96" s="56" t="s">
        <v>56</v>
      </c>
    </row>
    <row r="97" spans="1:17" x14ac:dyDescent="0.3">
      <c r="A97" s="15" t="s">
        <v>56</v>
      </c>
      <c r="B97" s="14" t="s">
        <v>40</v>
      </c>
      <c r="C97" s="15" t="s">
        <v>59</v>
      </c>
      <c r="D97" s="17">
        <v>99907</v>
      </c>
      <c r="E97" s="18">
        <v>60500</v>
      </c>
      <c r="F97" s="25">
        <v>28080</v>
      </c>
      <c r="G97" s="16">
        <v>568.1</v>
      </c>
      <c r="H97" s="16">
        <v>573.04999999999995</v>
      </c>
      <c r="I97" s="19">
        <v>28700</v>
      </c>
      <c r="J97" s="16">
        <v>287.05</v>
      </c>
      <c r="K97" s="16">
        <v>-562.95000000000005</v>
      </c>
      <c r="L97" s="25">
        <v>46460</v>
      </c>
      <c r="M97" s="18">
        <v>46800</v>
      </c>
      <c r="N97" s="17">
        <v>19943</v>
      </c>
      <c r="O97" s="20" t="s">
        <v>59</v>
      </c>
      <c r="P97" s="21" t="s">
        <v>39</v>
      </c>
      <c r="Q97" s="16" t="s">
        <v>56</v>
      </c>
    </row>
    <row r="98" spans="1:17" x14ac:dyDescent="0.3">
      <c r="A98" s="15" t="s">
        <v>56</v>
      </c>
      <c r="B98" s="14" t="s">
        <v>40</v>
      </c>
      <c r="C98" s="15" t="s">
        <v>59</v>
      </c>
      <c r="D98" s="17">
        <v>116008</v>
      </c>
      <c r="E98" s="18">
        <v>99520</v>
      </c>
      <c r="F98" s="25">
        <v>69540</v>
      </c>
      <c r="G98" s="16">
        <v>511.65</v>
      </c>
      <c r="H98" s="16">
        <v>516.4</v>
      </c>
      <c r="I98" s="19">
        <v>28800</v>
      </c>
      <c r="J98" s="16">
        <v>329.6</v>
      </c>
      <c r="K98" s="16">
        <v>-1149.75</v>
      </c>
      <c r="L98" s="25">
        <v>53360</v>
      </c>
      <c r="M98" s="18">
        <v>53740</v>
      </c>
      <c r="N98" s="17">
        <v>18159</v>
      </c>
      <c r="O98" s="20" t="s">
        <v>59</v>
      </c>
      <c r="P98" s="21" t="s">
        <v>39</v>
      </c>
      <c r="Q98" s="16" t="s">
        <v>56</v>
      </c>
    </row>
    <row r="99" spans="1:17" x14ac:dyDescent="0.3">
      <c r="A99" s="15" t="s">
        <v>56</v>
      </c>
      <c r="B99" s="14" t="s">
        <v>40</v>
      </c>
      <c r="C99" s="15" t="s">
        <v>59</v>
      </c>
      <c r="D99" s="17">
        <v>103317</v>
      </c>
      <c r="E99" s="18">
        <v>76140</v>
      </c>
      <c r="F99" s="25">
        <v>68000</v>
      </c>
      <c r="G99" s="16">
        <v>455.85</v>
      </c>
      <c r="H99" s="16">
        <v>460.25</v>
      </c>
      <c r="I99" s="19">
        <v>28900</v>
      </c>
      <c r="J99" s="16">
        <v>375.45</v>
      </c>
      <c r="K99" s="16">
        <v>-1686.65</v>
      </c>
      <c r="L99" s="25">
        <v>36840</v>
      </c>
      <c r="M99" s="18">
        <v>36980</v>
      </c>
      <c r="N99" s="17">
        <v>8108</v>
      </c>
      <c r="O99" s="20" t="s">
        <v>59</v>
      </c>
      <c r="P99" s="21" t="s">
        <v>39</v>
      </c>
      <c r="Q99" s="16" t="s">
        <v>56</v>
      </c>
    </row>
    <row r="100" spans="1:17" ht="18" x14ac:dyDescent="0.3">
      <c r="A100" s="15" t="s">
        <v>56</v>
      </c>
      <c r="B100" s="14" t="s">
        <v>40</v>
      </c>
      <c r="C100" s="15" t="s">
        <v>59</v>
      </c>
      <c r="D100" s="17">
        <v>478942</v>
      </c>
      <c r="E100" s="18">
        <v>509260</v>
      </c>
      <c r="F100" s="25">
        <v>186380</v>
      </c>
      <c r="G100" s="16">
        <v>408.6</v>
      </c>
      <c r="H100" s="16">
        <v>412.95</v>
      </c>
      <c r="I100" s="49">
        <v>29000</v>
      </c>
      <c r="J100" s="16">
        <v>421</v>
      </c>
      <c r="K100" s="16">
        <v>-1778.6</v>
      </c>
      <c r="L100" s="25">
        <v>18740</v>
      </c>
      <c r="M100" s="18">
        <v>122180</v>
      </c>
      <c r="N100" s="17">
        <v>22472</v>
      </c>
      <c r="O100" s="20" t="s">
        <v>59</v>
      </c>
      <c r="P100" s="21" t="s">
        <v>39</v>
      </c>
      <c r="Q100" s="16" t="s">
        <v>56</v>
      </c>
    </row>
    <row r="101" spans="1:17" x14ac:dyDescent="0.3">
      <c r="A101" s="15" t="s">
        <v>56</v>
      </c>
      <c r="B101" s="14" t="s">
        <v>40</v>
      </c>
      <c r="C101" s="15" t="s">
        <v>59</v>
      </c>
      <c r="D101" s="17">
        <v>84214</v>
      </c>
      <c r="E101" s="18">
        <v>63000</v>
      </c>
      <c r="F101" s="25">
        <v>56860</v>
      </c>
      <c r="G101" s="16">
        <v>362</v>
      </c>
      <c r="H101" s="16">
        <v>365.6</v>
      </c>
      <c r="I101" s="19">
        <v>29100</v>
      </c>
      <c r="J101" s="16">
        <v>481.45</v>
      </c>
      <c r="K101" s="16">
        <v>-718.55</v>
      </c>
      <c r="L101" s="25">
        <v>5160</v>
      </c>
      <c r="M101" s="18">
        <v>5200</v>
      </c>
      <c r="N101" s="17">
        <v>423</v>
      </c>
      <c r="O101" s="20" t="s">
        <v>59</v>
      </c>
      <c r="P101" s="21" t="s">
        <v>39</v>
      </c>
      <c r="Q101" s="16" t="s">
        <v>56</v>
      </c>
    </row>
    <row r="102" spans="1:17" x14ac:dyDescent="0.3">
      <c r="A102" s="15" t="s">
        <v>56</v>
      </c>
      <c r="B102" s="14" t="s">
        <v>40</v>
      </c>
      <c r="C102" s="15" t="s">
        <v>59</v>
      </c>
      <c r="D102" s="17">
        <v>103038</v>
      </c>
      <c r="E102" s="18">
        <v>78100</v>
      </c>
      <c r="F102" s="25">
        <v>60480</v>
      </c>
      <c r="G102" s="16">
        <v>324.75</v>
      </c>
      <c r="H102" s="16">
        <v>328.75</v>
      </c>
      <c r="I102" s="19">
        <v>29200</v>
      </c>
      <c r="J102" s="16">
        <v>541.9</v>
      </c>
      <c r="K102" s="16">
        <v>-1882.2</v>
      </c>
      <c r="L102" s="25">
        <v>260</v>
      </c>
      <c r="M102" s="18">
        <v>1640</v>
      </c>
      <c r="N102" s="17">
        <v>150</v>
      </c>
      <c r="O102" s="20" t="s">
        <v>59</v>
      </c>
      <c r="P102" s="21" t="s">
        <v>39</v>
      </c>
      <c r="Q102" s="16" t="s">
        <v>56</v>
      </c>
    </row>
    <row r="103" spans="1:17" x14ac:dyDescent="0.3">
      <c r="A103" s="15" t="s">
        <v>56</v>
      </c>
      <c r="B103" s="14" t="s">
        <v>40</v>
      </c>
      <c r="C103" s="15" t="s">
        <v>59</v>
      </c>
      <c r="D103" s="17">
        <v>64960</v>
      </c>
      <c r="E103" s="18">
        <v>78780</v>
      </c>
      <c r="F103" s="25">
        <v>77720</v>
      </c>
      <c r="G103" s="16">
        <v>287.05</v>
      </c>
      <c r="H103" s="16">
        <v>290.75</v>
      </c>
      <c r="I103" s="19">
        <v>29300</v>
      </c>
      <c r="J103" s="16">
        <v>669</v>
      </c>
      <c r="K103" s="16">
        <v>158.55000000000001</v>
      </c>
      <c r="L103" s="25">
        <v>840</v>
      </c>
      <c r="M103" s="18">
        <v>840</v>
      </c>
      <c r="N103" s="17">
        <v>104</v>
      </c>
      <c r="O103" s="20" t="s">
        <v>59</v>
      </c>
      <c r="P103" s="21" t="s">
        <v>40</v>
      </c>
      <c r="Q103" s="16" t="s">
        <v>72</v>
      </c>
    </row>
    <row r="104" spans="1:17" x14ac:dyDescent="0.3">
      <c r="A104" s="15" t="s">
        <v>56</v>
      </c>
      <c r="B104" s="14" t="s">
        <v>40</v>
      </c>
      <c r="C104" s="15" t="s">
        <v>59</v>
      </c>
      <c r="D104" s="17">
        <v>79871</v>
      </c>
      <c r="E104" s="18">
        <v>67800</v>
      </c>
      <c r="F104" s="25">
        <v>64780</v>
      </c>
      <c r="G104" s="16">
        <v>253.5</v>
      </c>
      <c r="H104" s="16">
        <v>256.8</v>
      </c>
      <c r="I104" s="19">
        <v>29400</v>
      </c>
      <c r="J104" s="16">
        <v>700</v>
      </c>
      <c r="K104" s="16">
        <v>-975.35</v>
      </c>
      <c r="L104" s="25">
        <v>60</v>
      </c>
      <c r="M104" s="18">
        <v>100</v>
      </c>
      <c r="N104" s="17">
        <v>14</v>
      </c>
      <c r="O104" s="20" t="s">
        <v>59</v>
      </c>
      <c r="P104" s="21" t="s">
        <v>39</v>
      </c>
      <c r="Q104" s="16" t="s">
        <v>56</v>
      </c>
    </row>
    <row r="105" spans="1:17" x14ac:dyDescent="0.3">
      <c r="A105" s="15" t="s">
        <v>56</v>
      </c>
      <c r="B105" s="14" t="s">
        <v>40</v>
      </c>
      <c r="C105" s="15" t="s">
        <v>59</v>
      </c>
      <c r="D105" s="17">
        <v>324314</v>
      </c>
      <c r="E105" s="18">
        <v>472500</v>
      </c>
      <c r="F105" s="25">
        <v>290480</v>
      </c>
      <c r="G105" s="16">
        <v>223.8</v>
      </c>
      <c r="H105" s="16">
        <v>226.1</v>
      </c>
      <c r="I105" s="19">
        <v>29500</v>
      </c>
      <c r="J105" s="16">
        <v>738.8</v>
      </c>
      <c r="K105" s="16">
        <v>-1986.65</v>
      </c>
      <c r="L105" s="25">
        <v>-66360</v>
      </c>
      <c r="M105" s="18">
        <v>177840</v>
      </c>
      <c r="N105" s="17">
        <v>6140</v>
      </c>
      <c r="O105" s="20" t="s">
        <v>58</v>
      </c>
      <c r="P105" s="21" t="s">
        <v>37</v>
      </c>
      <c r="Q105" s="16" t="s">
        <v>56</v>
      </c>
    </row>
    <row r="106" spans="1:17" ht="15" thickBot="1" x14ac:dyDescent="0.35">
      <c r="A106" s="62"/>
      <c r="I106" s="58"/>
    </row>
    <row r="107" spans="1:17" s="48" customFormat="1" ht="15" thickBot="1" x14ac:dyDescent="0.35">
      <c r="A107" s="43"/>
      <c r="B107" s="44"/>
      <c r="C107" s="63" t="s">
        <v>55</v>
      </c>
      <c r="D107" s="64">
        <v>28981.55</v>
      </c>
      <c r="E107" s="52"/>
      <c r="F107" s="57" t="s">
        <v>60</v>
      </c>
      <c r="G107" s="53"/>
      <c r="H107" s="45"/>
      <c r="I107" s="59" t="s">
        <v>73</v>
      </c>
      <c r="J107" s="44"/>
      <c r="K107" s="44"/>
      <c r="L107" s="44"/>
      <c r="M107" s="44"/>
      <c r="N107" s="44"/>
      <c r="O107" s="44"/>
      <c r="P107" s="44"/>
      <c r="Q107" s="44" t="s">
        <v>70</v>
      </c>
    </row>
    <row r="108" spans="1:17" x14ac:dyDescent="0.3">
      <c r="A108" s="15" t="s">
        <v>56</v>
      </c>
      <c r="B108" s="14" t="s">
        <v>57</v>
      </c>
      <c r="C108" s="50" t="s">
        <v>58</v>
      </c>
      <c r="D108" s="51">
        <v>408442</v>
      </c>
      <c r="E108" s="54">
        <v>374900</v>
      </c>
      <c r="F108" s="55">
        <v>-55680</v>
      </c>
      <c r="G108" s="56">
        <v>642.20000000000005</v>
      </c>
      <c r="H108" s="16">
        <v>650</v>
      </c>
      <c r="I108" s="19">
        <v>28500</v>
      </c>
      <c r="J108" s="16">
        <v>146.05000000000001</v>
      </c>
      <c r="K108" s="16">
        <v>-1574.9</v>
      </c>
      <c r="L108" s="25">
        <v>489580</v>
      </c>
      <c r="M108" s="18">
        <v>507080</v>
      </c>
      <c r="N108" s="17">
        <v>308735</v>
      </c>
      <c r="O108" s="16" t="s">
        <v>59</v>
      </c>
      <c r="P108" s="16" t="s">
        <v>39</v>
      </c>
      <c r="Q108" s="16" t="s">
        <v>56</v>
      </c>
    </row>
    <row r="109" spans="1:17" x14ac:dyDescent="0.3">
      <c r="A109" s="15" t="s">
        <v>56</v>
      </c>
      <c r="B109" s="14" t="s">
        <v>57</v>
      </c>
      <c r="C109" s="15" t="s">
        <v>58</v>
      </c>
      <c r="D109" s="17">
        <v>109737</v>
      </c>
      <c r="E109" s="18">
        <v>28020</v>
      </c>
      <c r="F109" s="25">
        <v>-4960</v>
      </c>
      <c r="G109" s="16">
        <v>565.75</v>
      </c>
      <c r="H109" s="16">
        <v>572.29999999999995</v>
      </c>
      <c r="I109" s="19">
        <v>28600</v>
      </c>
      <c r="J109" s="56">
        <v>180</v>
      </c>
      <c r="K109" s="56">
        <v>-1620</v>
      </c>
      <c r="L109" s="55">
        <v>58960</v>
      </c>
      <c r="M109" s="54">
        <v>59600</v>
      </c>
      <c r="N109" s="51">
        <v>74793</v>
      </c>
      <c r="O109" s="60" t="s">
        <v>59</v>
      </c>
      <c r="P109" s="61" t="s">
        <v>39</v>
      </c>
      <c r="Q109" s="56" t="s">
        <v>56</v>
      </c>
    </row>
    <row r="110" spans="1:17" x14ac:dyDescent="0.3">
      <c r="A110" s="15" t="s">
        <v>56</v>
      </c>
      <c r="B110" s="14" t="s">
        <v>40</v>
      </c>
      <c r="C110" s="15" t="s">
        <v>59</v>
      </c>
      <c r="D110" s="17">
        <v>111493</v>
      </c>
      <c r="E110" s="18">
        <v>36240</v>
      </c>
      <c r="F110" s="25">
        <v>3820</v>
      </c>
      <c r="G110" s="16">
        <v>503.85</v>
      </c>
      <c r="H110" s="16">
        <v>508.8</v>
      </c>
      <c r="I110" s="19">
        <v>28700</v>
      </c>
      <c r="J110" s="16">
        <v>215</v>
      </c>
      <c r="K110" s="16">
        <v>-635</v>
      </c>
      <c r="L110" s="25">
        <v>52060</v>
      </c>
      <c r="M110" s="18">
        <v>52400</v>
      </c>
      <c r="N110" s="17">
        <v>54219</v>
      </c>
      <c r="O110" s="20" t="s">
        <v>59</v>
      </c>
      <c r="P110" s="21" t="s">
        <v>39</v>
      </c>
      <c r="Q110" s="16" t="s">
        <v>56</v>
      </c>
    </row>
    <row r="111" spans="1:17" x14ac:dyDescent="0.3">
      <c r="A111" s="15" t="s">
        <v>56</v>
      </c>
      <c r="B111" s="14" t="s">
        <v>40</v>
      </c>
      <c r="C111" s="15" t="s">
        <v>59</v>
      </c>
      <c r="D111" s="17">
        <v>144655</v>
      </c>
      <c r="E111" s="18">
        <v>70460</v>
      </c>
      <c r="F111" s="25">
        <v>40480</v>
      </c>
      <c r="G111" s="16">
        <v>423.35</v>
      </c>
      <c r="H111" s="16">
        <v>428.1</v>
      </c>
      <c r="I111" s="19">
        <v>28800</v>
      </c>
      <c r="J111" s="16">
        <v>249.4</v>
      </c>
      <c r="K111" s="16">
        <v>-1229.95</v>
      </c>
      <c r="L111" s="25">
        <v>60720</v>
      </c>
      <c r="M111" s="18">
        <v>61100</v>
      </c>
      <c r="N111" s="17">
        <v>57707</v>
      </c>
      <c r="O111" s="20" t="s">
        <v>59</v>
      </c>
      <c r="P111" s="21" t="s">
        <v>39</v>
      </c>
      <c r="Q111" s="16" t="s">
        <v>56</v>
      </c>
    </row>
    <row r="112" spans="1:17" x14ac:dyDescent="0.3">
      <c r="A112" s="15" t="s">
        <v>56</v>
      </c>
      <c r="B112" s="14" t="s">
        <v>40</v>
      </c>
      <c r="C112" s="15" t="s">
        <v>59</v>
      </c>
      <c r="D112" s="17">
        <v>137048</v>
      </c>
      <c r="E112" s="18">
        <v>59240</v>
      </c>
      <c r="F112" s="25">
        <v>51100</v>
      </c>
      <c r="G112" s="16">
        <v>395.6</v>
      </c>
      <c r="H112" s="16">
        <v>400</v>
      </c>
      <c r="I112" s="19">
        <v>28900</v>
      </c>
      <c r="J112" s="16">
        <v>298.95</v>
      </c>
      <c r="K112" s="16">
        <v>-1763.15</v>
      </c>
      <c r="L112" s="25">
        <v>50220</v>
      </c>
      <c r="M112" s="18">
        <v>50360</v>
      </c>
      <c r="N112" s="17">
        <v>43460</v>
      </c>
      <c r="O112" s="20" t="s">
        <v>59</v>
      </c>
      <c r="P112" s="21" t="s">
        <v>39</v>
      </c>
      <c r="Q112" s="16" t="s">
        <v>56</v>
      </c>
    </row>
    <row r="113" spans="1:17" ht="18" x14ac:dyDescent="0.3">
      <c r="A113" s="15" t="s">
        <v>56</v>
      </c>
      <c r="B113" s="14" t="s">
        <v>40</v>
      </c>
      <c r="C113" s="15" t="s">
        <v>59</v>
      </c>
      <c r="D113" s="17">
        <v>652066</v>
      </c>
      <c r="E113" s="18">
        <v>377780</v>
      </c>
      <c r="F113" s="25">
        <v>54900</v>
      </c>
      <c r="G113" s="16">
        <v>345.75</v>
      </c>
      <c r="H113" s="16">
        <v>350.1</v>
      </c>
      <c r="I113" s="49">
        <v>29000</v>
      </c>
      <c r="J113" s="16">
        <v>349.9</v>
      </c>
      <c r="K113" s="16">
        <v>-1849.7</v>
      </c>
      <c r="L113" s="25">
        <v>182820</v>
      </c>
      <c r="M113" s="18">
        <v>286260</v>
      </c>
      <c r="N113" s="17">
        <v>128661</v>
      </c>
      <c r="O113" s="20" t="s">
        <v>59</v>
      </c>
      <c r="P113" s="21" t="s">
        <v>39</v>
      </c>
      <c r="Q113" s="16" t="s">
        <v>56</v>
      </c>
    </row>
    <row r="114" spans="1:17" x14ac:dyDescent="0.3">
      <c r="A114" s="15" t="s">
        <v>56</v>
      </c>
      <c r="B114" s="14" t="s">
        <v>40</v>
      </c>
      <c r="C114" s="15" t="s">
        <v>59</v>
      </c>
      <c r="D114" s="17">
        <v>128960</v>
      </c>
      <c r="E114" s="18">
        <v>48660</v>
      </c>
      <c r="F114" s="25">
        <v>42520</v>
      </c>
      <c r="G114" s="16">
        <v>302.45</v>
      </c>
      <c r="H114" s="16">
        <v>306.05</v>
      </c>
      <c r="I114" s="19">
        <v>29100</v>
      </c>
      <c r="J114" s="16">
        <v>412.4</v>
      </c>
      <c r="K114" s="16">
        <v>-787.6</v>
      </c>
      <c r="L114" s="25">
        <v>28400</v>
      </c>
      <c r="M114" s="18">
        <v>28440</v>
      </c>
      <c r="N114" s="17">
        <v>18713</v>
      </c>
      <c r="O114" s="20" t="s">
        <v>59</v>
      </c>
      <c r="P114" s="21" t="s">
        <v>39</v>
      </c>
      <c r="Q114" s="16" t="s">
        <v>56</v>
      </c>
    </row>
    <row r="115" spans="1:17" x14ac:dyDescent="0.3">
      <c r="A115" s="15" t="s">
        <v>56</v>
      </c>
      <c r="B115" s="14" t="s">
        <v>40</v>
      </c>
      <c r="C115" s="15" t="s">
        <v>59</v>
      </c>
      <c r="D115" s="17">
        <v>169758</v>
      </c>
      <c r="E115" s="18">
        <v>71440</v>
      </c>
      <c r="F115" s="25">
        <v>53820</v>
      </c>
      <c r="G115" s="16">
        <v>264.7</v>
      </c>
      <c r="H115" s="16">
        <v>268.7</v>
      </c>
      <c r="I115" s="19">
        <v>29200</v>
      </c>
      <c r="J115" s="16">
        <v>455</v>
      </c>
      <c r="K115" s="16">
        <v>-1969.1</v>
      </c>
      <c r="L115" s="25">
        <v>22020</v>
      </c>
      <c r="M115" s="18">
        <v>23400</v>
      </c>
      <c r="N115" s="17">
        <v>13927</v>
      </c>
      <c r="O115" s="20" t="s">
        <v>59</v>
      </c>
      <c r="P115" s="21" t="s">
        <v>39</v>
      </c>
      <c r="Q115" s="16" t="s">
        <v>56</v>
      </c>
    </row>
    <row r="116" spans="1:17" x14ac:dyDescent="0.3">
      <c r="A116" s="15" t="s">
        <v>56</v>
      </c>
      <c r="B116" s="14" t="s">
        <v>40</v>
      </c>
      <c r="C116" s="15" t="s">
        <v>59</v>
      </c>
      <c r="D116" s="17">
        <v>119173</v>
      </c>
      <c r="E116" s="18">
        <v>95600</v>
      </c>
      <c r="F116" s="25">
        <v>94540</v>
      </c>
      <c r="G116" s="16">
        <v>237.3</v>
      </c>
      <c r="H116" s="16">
        <v>241</v>
      </c>
      <c r="I116" s="19">
        <v>29300</v>
      </c>
      <c r="J116" s="16">
        <v>528.85</v>
      </c>
      <c r="K116" s="16">
        <v>18.399999999999999</v>
      </c>
      <c r="L116" s="25">
        <v>15920</v>
      </c>
      <c r="M116" s="18">
        <v>15920</v>
      </c>
      <c r="N116" s="17">
        <v>6670</v>
      </c>
      <c r="O116" s="20" t="s">
        <v>59</v>
      </c>
      <c r="P116" s="21" t="s">
        <v>40</v>
      </c>
      <c r="Q116" s="16" t="s">
        <v>72</v>
      </c>
    </row>
    <row r="117" spans="1:17" x14ac:dyDescent="0.3">
      <c r="A117" s="15" t="s">
        <v>56</v>
      </c>
      <c r="B117" s="14" t="s">
        <v>40</v>
      </c>
      <c r="C117" s="15" t="s">
        <v>59</v>
      </c>
      <c r="D117" s="17">
        <v>139228</v>
      </c>
      <c r="E117" s="18">
        <v>80060</v>
      </c>
      <c r="F117" s="25">
        <v>77040</v>
      </c>
      <c r="G117" s="16">
        <v>239.7</v>
      </c>
      <c r="H117" s="16">
        <v>243</v>
      </c>
      <c r="I117" s="19">
        <v>29400</v>
      </c>
      <c r="J117" s="16">
        <v>639.29999999999995</v>
      </c>
      <c r="K117" s="16">
        <v>-1036.05</v>
      </c>
      <c r="L117" s="25">
        <v>9940</v>
      </c>
      <c r="M117" s="18">
        <v>9980</v>
      </c>
      <c r="N117" s="17">
        <v>3109</v>
      </c>
      <c r="O117" s="20" t="s">
        <v>59</v>
      </c>
      <c r="P117" s="21" t="s">
        <v>39</v>
      </c>
      <c r="Q117" s="16" t="s">
        <v>56</v>
      </c>
    </row>
    <row r="118" spans="1:17" x14ac:dyDescent="0.3">
      <c r="A118" s="15" t="s">
        <v>56</v>
      </c>
      <c r="B118" s="14" t="s">
        <v>40</v>
      </c>
      <c r="C118" s="15" t="s">
        <v>59</v>
      </c>
      <c r="D118" s="17">
        <v>595199</v>
      </c>
      <c r="E118" s="18">
        <v>436300</v>
      </c>
      <c r="F118" s="25">
        <v>254280</v>
      </c>
      <c r="G118" s="16">
        <v>179.7</v>
      </c>
      <c r="H118" s="16">
        <v>182</v>
      </c>
      <c r="I118" s="19">
        <v>29500</v>
      </c>
      <c r="J118" s="16">
        <v>669</v>
      </c>
      <c r="K118" s="16">
        <v>-2056.4499999999998</v>
      </c>
      <c r="L118" s="25">
        <v>-103380</v>
      </c>
      <c r="M118" s="18">
        <v>140820</v>
      </c>
      <c r="N118" s="17">
        <v>18623</v>
      </c>
      <c r="O118" s="20" t="s">
        <v>58</v>
      </c>
      <c r="P118" s="21" t="s">
        <v>37</v>
      </c>
      <c r="Q118" s="16" t="s">
        <v>56</v>
      </c>
    </row>
    <row r="119" spans="1:17" ht="15" thickBot="1" x14ac:dyDescent="0.35">
      <c r="A119" s="62"/>
      <c r="I119" s="58"/>
    </row>
    <row r="120" spans="1:17" s="48" customFormat="1" ht="15" thickBot="1" x14ac:dyDescent="0.35">
      <c r="A120" s="43"/>
      <c r="B120" s="44"/>
      <c r="C120" s="63" t="s">
        <v>55</v>
      </c>
      <c r="D120" s="64">
        <v>28431.9</v>
      </c>
      <c r="E120" s="52"/>
      <c r="F120" s="57" t="s">
        <v>60</v>
      </c>
      <c r="G120" s="53"/>
      <c r="H120" s="45"/>
      <c r="I120" s="59" t="s">
        <v>71</v>
      </c>
      <c r="J120" s="44"/>
      <c r="K120" s="44"/>
      <c r="L120" s="44"/>
      <c r="M120" s="44"/>
      <c r="N120" s="44"/>
      <c r="O120" s="44"/>
      <c r="P120" s="44"/>
      <c r="Q120" s="44" t="s">
        <v>69</v>
      </c>
    </row>
    <row r="121" spans="1:17" x14ac:dyDescent="0.3">
      <c r="A121" s="15" t="s">
        <v>56</v>
      </c>
      <c r="B121" s="14" t="s">
        <v>57</v>
      </c>
      <c r="C121" s="50" t="s">
        <v>58</v>
      </c>
      <c r="D121" s="51">
        <v>5291</v>
      </c>
      <c r="E121" s="54">
        <v>15140</v>
      </c>
      <c r="F121" s="55">
        <v>-26440</v>
      </c>
      <c r="G121" s="56">
        <v>211.6</v>
      </c>
      <c r="H121" s="16">
        <v>616.25</v>
      </c>
      <c r="I121" s="19">
        <v>27900</v>
      </c>
      <c r="J121" s="16">
        <v>62.15</v>
      </c>
      <c r="K121" s="16">
        <v>-89.05</v>
      </c>
      <c r="L121" s="25">
        <v>117900</v>
      </c>
      <c r="M121" s="18">
        <v>185280</v>
      </c>
      <c r="N121" s="17">
        <v>213625</v>
      </c>
      <c r="O121" s="16" t="s">
        <v>59</v>
      </c>
      <c r="P121" s="16" t="s">
        <v>39</v>
      </c>
      <c r="Q121" s="16" t="s">
        <v>56</v>
      </c>
    </row>
    <row r="122" spans="1:17" x14ac:dyDescent="0.3">
      <c r="A122" s="15" t="s">
        <v>56</v>
      </c>
      <c r="B122" s="14" t="s">
        <v>57</v>
      </c>
      <c r="C122" s="15" t="s">
        <v>58</v>
      </c>
      <c r="D122" s="17">
        <v>34539</v>
      </c>
      <c r="E122" s="18">
        <v>92140</v>
      </c>
      <c r="F122" s="25">
        <v>-140860</v>
      </c>
      <c r="G122" s="16">
        <v>178.15</v>
      </c>
      <c r="H122" s="16">
        <v>515.1</v>
      </c>
      <c r="I122" s="19">
        <v>28000</v>
      </c>
      <c r="J122" s="56">
        <v>79</v>
      </c>
      <c r="K122" s="56">
        <v>-105.35</v>
      </c>
      <c r="L122" s="55">
        <v>253840</v>
      </c>
      <c r="M122" s="54">
        <v>479760</v>
      </c>
      <c r="N122" s="51">
        <v>550346</v>
      </c>
      <c r="O122" s="60" t="s">
        <v>59</v>
      </c>
      <c r="P122" s="61" t="s">
        <v>39</v>
      </c>
      <c r="Q122" s="56" t="s">
        <v>56</v>
      </c>
    </row>
    <row r="123" spans="1:17" x14ac:dyDescent="0.3">
      <c r="A123" s="15" t="s">
        <v>56</v>
      </c>
      <c r="B123" s="14" t="s">
        <v>57</v>
      </c>
      <c r="C123" s="15" t="s">
        <v>58</v>
      </c>
      <c r="D123" s="17">
        <v>22113</v>
      </c>
      <c r="E123" s="18">
        <v>17920</v>
      </c>
      <c r="F123" s="25">
        <v>-34080</v>
      </c>
      <c r="G123" s="16">
        <v>140.15</v>
      </c>
      <c r="H123" s="16">
        <v>429.05</v>
      </c>
      <c r="I123" s="19">
        <v>28100</v>
      </c>
      <c r="J123" s="16">
        <v>96.5</v>
      </c>
      <c r="K123" s="16">
        <v>-122.65</v>
      </c>
      <c r="L123" s="25">
        <v>117260</v>
      </c>
      <c r="M123" s="18">
        <v>162320</v>
      </c>
      <c r="N123" s="17">
        <v>237229</v>
      </c>
      <c r="O123" s="20" t="s">
        <v>59</v>
      </c>
      <c r="P123" s="21" t="s">
        <v>39</v>
      </c>
      <c r="Q123" s="16" t="s">
        <v>56</v>
      </c>
    </row>
    <row r="124" spans="1:17" x14ac:dyDescent="0.3">
      <c r="A124" s="15" t="s">
        <v>56</v>
      </c>
      <c r="B124" s="14" t="s">
        <v>57</v>
      </c>
      <c r="C124" s="15" t="s">
        <v>58</v>
      </c>
      <c r="D124" s="17">
        <v>48952</v>
      </c>
      <c r="E124" s="18">
        <v>41160</v>
      </c>
      <c r="F124" s="25">
        <v>-93300</v>
      </c>
      <c r="G124" s="16">
        <v>128.05000000000001</v>
      </c>
      <c r="H124" s="16">
        <v>370</v>
      </c>
      <c r="I124" s="19">
        <v>28200</v>
      </c>
      <c r="J124" s="16">
        <v>120.6</v>
      </c>
      <c r="K124" s="16">
        <v>-140.05000000000001</v>
      </c>
      <c r="L124" s="25">
        <v>257440</v>
      </c>
      <c r="M124" s="18">
        <v>301340</v>
      </c>
      <c r="N124" s="17">
        <v>329679</v>
      </c>
      <c r="O124" s="20" t="s">
        <v>59</v>
      </c>
      <c r="P124" s="21" t="s">
        <v>39</v>
      </c>
      <c r="Q124" s="16" t="s">
        <v>56</v>
      </c>
    </row>
    <row r="125" spans="1:17" x14ac:dyDescent="0.3">
      <c r="A125" s="15" t="s">
        <v>56</v>
      </c>
      <c r="B125" s="14" t="s">
        <v>57</v>
      </c>
      <c r="C125" s="15" t="s">
        <v>58</v>
      </c>
      <c r="D125" s="17">
        <v>132505</v>
      </c>
      <c r="E125" s="18">
        <v>44960</v>
      </c>
      <c r="F125" s="25">
        <v>-29040</v>
      </c>
      <c r="G125" s="16">
        <v>103.4</v>
      </c>
      <c r="H125" s="16">
        <v>301</v>
      </c>
      <c r="I125" s="19">
        <v>28300</v>
      </c>
      <c r="J125" s="16">
        <v>150</v>
      </c>
      <c r="K125" s="16">
        <v>-163.4</v>
      </c>
      <c r="L125" s="25">
        <v>104500</v>
      </c>
      <c r="M125" s="18">
        <v>119840</v>
      </c>
      <c r="N125" s="17">
        <v>244044</v>
      </c>
      <c r="O125" s="20" t="s">
        <v>59</v>
      </c>
      <c r="P125" s="21" t="s">
        <v>39</v>
      </c>
      <c r="Q125" s="16" t="s">
        <v>56</v>
      </c>
    </row>
    <row r="126" spans="1:17" ht="18" x14ac:dyDescent="0.3">
      <c r="A126" s="15" t="s">
        <v>56</v>
      </c>
      <c r="B126" s="14" t="s">
        <v>40</v>
      </c>
      <c r="C126" s="15" t="s">
        <v>59</v>
      </c>
      <c r="D126" s="17">
        <v>224819</v>
      </c>
      <c r="E126" s="18">
        <v>131160</v>
      </c>
      <c r="F126" s="25">
        <v>46160</v>
      </c>
      <c r="G126" s="16">
        <v>89.7</v>
      </c>
      <c r="H126" s="16">
        <v>251</v>
      </c>
      <c r="I126" s="49">
        <v>28400</v>
      </c>
      <c r="J126" s="16">
        <v>195.85</v>
      </c>
      <c r="K126" s="16">
        <v>-173.25</v>
      </c>
      <c r="L126" s="25">
        <v>116240</v>
      </c>
      <c r="M126" s="18">
        <v>118660</v>
      </c>
      <c r="N126" s="17">
        <v>197026</v>
      </c>
      <c r="O126" s="20" t="s">
        <v>59</v>
      </c>
      <c r="P126" s="21" t="s">
        <v>39</v>
      </c>
      <c r="Q126" s="16" t="s">
        <v>56</v>
      </c>
    </row>
    <row r="127" spans="1:17" x14ac:dyDescent="0.3">
      <c r="A127" s="15" t="s">
        <v>56</v>
      </c>
      <c r="B127" s="14" t="s">
        <v>40</v>
      </c>
      <c r="C127" s="15" t="s">
        <v>59</v>
      </c>
      <c r="D127" s="17">
        <v>438770</v>
      </c>
      <c r="E127" s="18">
        <v>286200</v>
      </c>
      <c r="F127" s="25">
        <v>10000</v>
      </c>
      <c r="G127" s="16">
        <v>65.75</v>
      </c>
      <c r="H127" s="16">
        <v>199</v>
      </c>
      <c r="I127" s="19">
        <v>28500</v>
      </c>
      <c r="J127" s="16">
        <v>242</v>
      </c>
      <c r="K127" s="16">
        <v>-202.5</v>
      </c>
      <c r="L127" s="25">
        <v>83640</v>
      </c>
      <c r="M127" s="18">
        <v>104720</v>
      </c>
      <c r="N127" s="17">
        <v>188314</v>
      </c>
      <c r="O127" s="20" t="s">
        <v>59</v>
      </c>
      <c r="P127" s="21" t="s">
        <v>39</v>
      </c>
      <c r="Q127" s="16" t="s">
        <v>56</v>
      </c>
    </row>
    <row r="128" spans="1:17" x14ac:dyDescent="0.3">
      <c r="A128" s="15" t="s">
        <v>56</v>
      </c>
      <c r="B128" s="14" t="s">
        <v>40</v>
      </c>
      <c r="C128" s="15" t="s">
        <v>59</v>
      </c>
      <c r="D128" s="17">
        <v>338895</v>
      </c>
      <c r="E128" s="18">
        <v>176420</v>
      </c>
      <c r="F128" s="25">
        <v>46040</v>
      </c>
      <c r="G128" s="16">
        <v>49.55</v>
      </c>
      <c r="H128" s="16">
        <v>153.5</v>
      </c>
      <c r="I128" s="19">
        <v>28600</v>
      </c>
      <c r="J128" s="16">
        <v>290</v>
      </c>
      <c r="K128" s="16">
        <v>-237.6</v>
      </c>
      <c r="L128" s="25">
        <v>35620</v>
      </c>
      <c r="M128" s="18">
        <v>39020</v>
      </c>
      <c r="N128" s="17">
        <v>39226</v>
      </c>
      <c r="O128" s="20" t="s">
        <v>59</v>
      </c>
      <c r="P128" s="21" t="s">
        <v>39</v>
      </c>
      <c r="Q128" s="16" t="s">
        <v>56</v>
      </c>
    </row>
    <row r="129" spans="1:17" x14ac:dyDescent="0.3">
      <c r="A129" s="15" t="s">
        <v>56</v>
      </c>
      <c r="B129" s="14" t="s">
        <v>40</v>
      </c>
      <c r="C129" s="15" t="s">
        <v>59</v>
      </c>
      <c r="D129" s="17">
        <v>342279</v>
      </c>
      <c r="E129" s="18">
        <v>190100</v>
      </c>
      <c r="F129" s="25">
        <v>114640</v>
      </c>
      <c r="G129" s="16">
        <v>37.15</v>
      </c>
      <c r="H129" s="16">
        <v>121</v>
      </c>
      <c r="I129" s="19">
        <v>28700</v>
      </c>
      <c r="J129" s="16">
        <v>357.8</v>
      </c>
      <c r="K129" s="16">
        <v>-277.2</v>
      </c>
      <c r="L129" s="25">
        <v>6920</v>
      </c>
      <c r="M129" s="18">
        <v>7020</v>
      </c>
      <c r="N129" s="17">
        <v>11570</v>
      </c>
      <c r="O129" s="20" t="s">
        <v>59</v>
      </c>
      <c r="P129" s="21" t="s">
        <v>39</v>
      </c>
      <c r="Q129" s="16" t="s">
        <v>56</v>
      </c>
    </row>
    <row r="130" spans="1:17" x14ac:dyDescent="0.3">
      <c r="A130" s="15" t="s">
        <v>56</v>
      </c>
      <c r="B130" s="14" t="s">
        <v>40</v>
      </c>
      <c r="C130" s="15" t="s">
        <v>59</v>
      </c>
      <c r="D130" s="17">
        <v>268312</v>
      </c>
      <c r="E130" s="18">
        <v>173060</v>
      </c>
      <c r="F130" s="25">
        <v>122840</v>
      </c>
      <c r="G130" s="16">
        <v>29.5</v>
      </c>
      <c r="H130" s="16">
        <v>94.4</v>
      </c>
      <c r="I130" s="19">
        <v>28800</v>
      </c>
      <c r="J130" s="16">
        <v>424.15</v>
      </c>
      <c r="K130" s="16">
        <v>-261.45</v>
      </c>
      <c r="L130" s="25">
        <v>2980</v>
      </c>
      <c r="M130" s="18">
        <v>3460</v>
      </c>
      <c r="N130" s="17">
        <v>1756</v>
      </c>
      <c r="O130" s="20" t="s">
        <v>59</v>
      </c>
      <c r="P130" s="21" t="s">
        <v>39</v>
      </c>
      <c r="Q130" s="16" t="s">
        <v>56</v>
      </c>
    </row>
    <row r="131" spans="1:17" x14ac:dyDescent="0.3">
      <c r="A131" s="15" t="s">
        <v>56</v>
      </c>
      <c r="B131" s="14" t="s">
        <v>40</v>
      </c>
      <c r="C131" s="15" t="s">
        <v>59</v>
      </c>
      <c r="D131" s="17">
        <v>160985</v>
      </c>
      <c r="E131" s="18">
        <v>113060</v>
      </c>
      <c r="F131" s="25">
        <v>76300</v>
      </c>
      <c r="G131" s="16">
        <v>19.899999999999999</v>
      </c>
      <c r="H131" s="16">
        <v>72.75</v>
      </c>
      <c r="I131" s="19">
        <v>28900</v>
      </c>
      <c r="J131" s="16">
        <v>498.5</v>
      </c>
      <c r="K131" s="16">
        <v>-365.75</v>
      </c>
      <c r="L131" s="25">
        <v>1340</v>
      </c>
      <c r="M131" s="18">
        <v>1400</v>
      </c>
      <c r="N131" s="17">
        <v>211</v>
      </c>
      <c r="O131" s="20" t="s">
        <v>59</v>
      </c>
      <c r="P131" s="21" t="s">
        <v>39</v>
      </c>
      <c r="Q131" s="16" t="s">
        <v>56</v>
      </c>
    </row>
  </sheetData>
  <conditionalFormatting sqref="Q4:Q14">
    <cfRule type="containsText" dxfId="203" priority="695" operator="containsText" text="BEARISH">
      <formula>NOT(ISERROR(SEARCH("BEARISH",Q4)))</formula>
    </cfRule>
  </conditionalFormatting>
  <conditionalFormatting sqref="Q4:Q14">
    <cfRule type="containsText" dxfId="202" priority="694" operator="containsText" text="BULLISH">
      <formula>NOT(ISERROR(SEARCH("BULLISH",Q4)))</formula>
    </cfRule>
  </conditionalFormatting>
  <conditionalFormatting sqref="P4:P14 B4:B14">
    <cfRule type="containsText" dxfId="201" priority="700" operator="containsText" text="Short Buildup">
      <formula>NOT(ISERROR(SEARCH("Short Buildup",B4)))</formula>
    </cfRule>
    <cfRule type="containsText" dxfId="200" priority="701" operator="containsText" text="Long Liquidation">
      <formula>NOT(ISERROR(SEARCH("Long Liquidation",B4)))</formula>
    </cfRule>
    <cfRule type="containsText" dxfId="199" priority="702" operator="containsText" text="Short covering">
      <formula>NOT(ISERROR(SEARCH("Short covering",B4)))</formula>
    </cfRule>
    <cfRule type="containsText" dxfId="198" priority="703" operator="containsText" text="Long Buildup">
      <formula>NOT(ISERROR(SEARCH("Long Buildup",B4)))</formula>
    </cfRule>
  </conditionalFormatting>
  <conditionalFormatting sqref="C4:C14 O4:O14">
    <cfRule type="containsText" dxfId="197" priority="699" operator="containsText" text="DOWN">
      <formula>NOT(ISERROR(SEARCH("DOWN",C4)))</formula>
    </cfRule>
  </conditionalFormatting>
  <conditionalFormatting sqref="C4:C14 O4:O14">
    <cfRule type="containsText" dxfId="196" priority="698" operator="containsText" text="UP">
      <formula>NOT(ISERROR(SEARCH("UP",C4)))</formula>
    </cfRule>
  </conditionalFormatting>
  <conditionalFormatting sqref="F4:F14 L4:L14">
    <cfRule type="cellIs" dxfId="195" priority="712" operator="equal">
      <formula>#REF!</formula>
    </cfRule>
  </conditionalFormatting>
  <conditionalFormatting sqref="A4:A15">
    <cfRule type="containsText" dxfId="194" priority="697" operator="containsText" text="BEARISH">
      <formula>NOT(ISERROR(SEARCH("BEARISH",A4)))</formula>
    </cfRule>
  </conditionalFormatting>
  <conditionalFormatting sqref="A4:A15">
    <cfRule type="containsText" dxfId="193" priority="696" operator="containsText" text="BULLISH">
      <formula>NOT(ISERROR(SEARCH("BULLISH",A4)))</formula>
    </cfRule>
  </conditionalFormatting>
  <conditionalFormatting sqref="G4:G14">
    <cfRule type="colorScale" priority="834">
      <colorScale>
        <cfvo type="min"/>
        <cfvo type="max"/>
        <color rgb="FFFFEF9C"/>
        <color rgb="FF63BE7B"/>
      </colorScale>
    </cfRule>
  </conditionalFormatting>
  <conditionalFormatting sqref="K4:K14">
    <cfRule type="colorScale" priority="835">
      <colorScale>
        <cfvo type="min"/>
        <cfvo type="max"/>
        <color rgb="FFFF7128"/>
        <color rgb="FFFFEF9C"/>
      </colorScale>
    </cfRule>
  </conditionalFormatting>
  <conditionalFormatting sqref="N4:N14">
    <cfRule type="dataBar" priority="836">
      <dataBar>
        <cfvo type="min"/>
        <cfvo type="max"/>
        <color rgb="FFFF555A"/>
      </dataBar>
    </cfRule>
  </conditionalFormatting>
  <conditionalFormatting sqref="D4:D14">
    <cfRule type="dataBar" priority="837">
      <dataBar>
        <cfvo type="min"/>
        <cfvo type="max"/>
        <color rgb="FFFF555A"/>
      </dataBar>
    </cfRule>
  </conditionalFormatting>
  <conditionalFormatting sqref="E4:E14">
    <cfRule type="top10" dxfId="192" priority="838" rank="1"/>
  </conditionalFormatting>
  <conditionalFormatting sqref="M4:M14">
    <cfRule type="top10" dxfId="191" priority="839" rank="1"/>
  </conditionalFormatting>
  <conditionalFormatting sqref="Q17:Q27">
    <cfRule type="containsText" dxfId="190" priority="649" operator="containsText" text="BEARISH">
      <formula>NOT(ISERROR(SEARCH("BEARISH",Q17)))</formula>
    </cfRule>
  </conditionalFormatting>
  <conditionalFormatting sqref="Q17:Q27">
    <cfRule type="containsText" dxfId="189" priority="648" operator="containsText" text="BULLISH">
      <formula>NOT(ISERROR(SEARCH("BULLISH",Q17)))</formula>
    </cfRule>
  </conditionalFormatting>
  <conditionalFormatting sqref="P17:P27 B17:B27">
    <cfRule type="containsText" dxfId="188" priority="654" operator="containsText" text="Short Buildup">
      <formula>NOT(ISERROR(SEARCH("Short Buildup",B17)))</formula>
    </cfRule>
    <cfRule type="containsText" dxfId="187" priority="655" operator="containsText" text="Long Liquidation">
      <formula>NOT(ISERROR(SEARCH("Long Liquidation",B17)))</formula>
    </cfRule>
    <cfRule type="containsText" dxfId="186" priority="656" operator="containsText" text="Short covering">
      <formula>NOT(ISERROR(SEARCH("Short covering",B17)))</formula>
    </cfRule>
    <cfRule type="containsText" dxfId="185" priority="657" operator="containsText" text="Long Buildup">
      <formula>NOT(ISERROR(SEARCH("Long Buildup",B17)))</formula>
    </cfRule>
  </conditionalFormatting>
  <conditionalFormatting sqref="C17:C27 O17:O27">
    <cfRule type="containsText" dxfId="184" priority="653" operator="containsText" text="DOWN">
      <formula>NOT(ISERROR(SEARCH("DOWN",C17)))</formula>
    </cfRule>
  </conditionalFormatting>
  <conditionalFormatting sqref="C17:C27 O17:O27">
    <cfRule type="containsText" dxfId="183" priority="652" operator="containsText" text="UP">
      <formula>NOT(ISERROR(SEARCH("UP",C17)))</formula>
    </cfRule>
  </conditionalFormatting>
  <conditionalFormatting sqref="F17:F27 L17:L27">
    <cfRule type="cellIs" dxfId="182" priority="660" operator="equal">
      <formula>#REF!</formula>
    </cfRule>
  </conditionalFormatting>
  <conditionalFormatting sqref="A17:A27">
    <cfRule type="containsText" dxfId="181" priority="651" operator="containsText" text="BEARISH">
      <formula>NOT(ISERROR(SEARCH("BEARISH",A17)))</formula>
    </cfRule>
  </conditionalFormatting>
  <conditionalFormatting sqref="A17:A27">
    <cfRule type="containsText" dxfId="180" priority="650" operator="containsText" text="BULLISH">
      <formula>NOT(ISERROR(SEARCH("BULLISH",A17)))</formula>
    </cfRule>
  </conditionalFormatting>
  <conditionalFormatting sqref="G17:G27">
    <cfRule type="colorScale" priority="661">
      <colorScale>
        <cfvo type="min"/>
        <cfvo type="max"/>
        <color rgb="FFFFEF9C"/>
        <color rgb="FF63BE7B"/>
      </colorScale>
    </cfRule>
  </conditionalFormatting>
  <conditionalFormatting sqref="K17:K27">
    <cfRule type="colorScale" priority="662">
      <colorScale>
        <cfvo type="min"/>
        <cfvo type="max"/>
        <color rgb="FFFF7128"/>
        <color rgb="FFFFEF9C"/>
      </colorScale>
    </cfRule>
  </conditionalFormatting>
  <conditionalFormatting sqref="N17:N27">
    <cfRule type="dataBar" priority="663">
      <dataBar>
        <cfvo type="min"/>
        <cfvo type="max"/>
        <color rgb="FFFF555A"/>
      </dataBar>
    </cfRule>
  </conditionalFormatting>
  <conditionalFormatting sqref="D17:D27">
    <cfRule type="dataBar" priority="664">
      <dataBar>
        <cfvo type="min"/>
        <cfvo type="max"/>
        <color rgb="FFFF555A"/>
      </dataBar>
    </cfRule>
  </conditionalFormatting>
  <conditionalFormatting sqref="E17:E27">
    <cfRule type="top10" dxfId="179" priority="665" rank="1"/>
  </conditionalFormatting>
  <conditionalFormatting sqref="M17:M27">
    <cfRule type="top10" dxfId="178" priority="666" rank="1"/>
  </conditionalFormatting>
  <conditionalFormatting sqref="F4:F14 L4:L14 F17:F27 L17:L27">
    <cfRule type="cellIs" dxfId="177" priority="845" operator="equal">
      <formula>#REF!</formula>
    </cfRule>
  </conditionalFormatting>
  <conditionalFormatting sqref="L4:L14 L17:L27">
    <cfRule type="cellIs" dxfId="176" priority="847" operator="equal">
      <formula>#REF!</formula>
    </cfRule>
  </conditionalFormatting>
  <conditionalFormatting sqref="F4:F14">
    <cfRule type="top10" dxfId="175" priority="848" rank="1"/>
    <cfRule type="cellIs" dxfId="174" priority="849" operator="equal">
      <formula>#REF!</formula>
    </cfRule>
  </conditionalFormatting>
  <conditionalFormatting sqref="L4:L14">
    <cfRule type="top10" dxfId="173" priority="850" rank="1"/>
    <cfRule type="cellIs" dxfId="172" priority="851" operator="equal">
      <formula>#REF!</formula>
    </cfRule>
  </conditionalFormatting>
  <conditionalFormatting sqref="F17:F27">
    <cfRule type="top10" dxfId="171" priority="855" rank="1"/>
    <cfRule type="cellIs" dxfId="170" priority="856" operator="equal">
      <formula>#REF!</formula>
    </cfRule>
  </conditionalFormatting>
  <conditionalFormatting sqref="L17:L27">
    <cfRule type="top10" dxfId="169" priority="857" rank="1"/>
    <cfRule type="cellIs" dxfId="168" priority="858" operator="equal">
      <formula>#REF!</formula>
    </cfRule>
  </conditionalFormatting>
  <conditionalFormatting sqref="A28">
    <cfRule type="containsText" dxfId="167" priority="319" operator="containsText" text="BEARISH">
      <formula>NOT(ISERROR(SEARCH("BEARISH",A28)))</formula>
    </cfRule>
  </conditionalFormatting>
  <conditionalFormatting sqref="A28">
    <cfRule type="containsText" dxfId="166" priority="318" operator="containsText" text="BULLISH">
      <formula>NOT(ISERROR(SEARCH("BULLISH",A28)))</formula>
    </cfRule>
  </conditionalFormatting>
  <conditionalFormatting sqref="Q30:Q40">
    <cfRule type="containsText" dxfId="165" priority="302" operator="containsText" text="BEARISH">
      <formula>NOT(ISERROR(SEARCH("BEARISH",Q30)))</formula>
    </cfRule>
  </conditionalFormatting>
  <conditionalFormatting sqref="Q30:Q40">
    <cfRule type="containsText" dxfId="164" priority="301" operator="containsText" text="BULLISH">
      <formula>NOT(ISERROR(SEARCH("BULLISH",Q30)))</formula>
    </cfRule>
  </conditionalFormatting>
  <conditionalFormatting sqref="P30:P40 B30:B40">
    <cfRule type="containsText" dxfId="163" priority="307" operator="containsText" text="Short Buildup">
      <formula>NOT(ISERROR(SEARCH("Short Buildup",B30)))</formula>
    </cfRule>
    <cfRule type="containsText" dxfId="162" priority="308" operator="containsText" text="Long Liquidation">
      <formula>NOT(ISERROR(SEARCH("Long Liquidation",B30)))</formula>
    </cfRule>
    <cfRule type="containsText" dxfId="161" priority="309" operator="containsText" text="Short covering">
      <formula>NOT(ISERROR(SEARCH("Short covering",B30)))</formula>
    </cfRule>
    <cfRule type="containsText" dxfId="160" priority="310" operator="containsText" text="Long Buildup">
      <formula>NOT(ISERROR(SEARCH("Long Buildup",B30)))</formula>
    </cfRule>
  </conditionalFormatting>
  <conditionalFormatting sqref="C30:C40 O30:O40">
    <cfRule type="containsText" dxfId="159" priority="306" operator="containsText" text="DOWN">
      <formula>NOT(ISERROR(SEARCH("DOWN",C30)))</formula>
    </cfRule>
  </conditionalFormatting>
  <conditionalFormatting sqref="C30:C40 O30:O40">
    <cfRule type="containsText" dxfId="158" priority="305" operator="containsText" text="UP">
      <formula>NOT(ISERROR(SEARCH("UP",C30)))</formula>
    </cfRule>
  </conditionalFormatting>
  <conditionalFormatting sqref="F30:F40 L30:L40">
    <cfRule type="cellIs" dxfId="157" priority="311" operator="equal">
      <formula>#REF!</formula>
    </cfRule>
  </conditionalFormatting>
  <conditionalFormatting sqref="A30:A40">
    <cfRule type="containsText" dxfId="156" priority="304" operator="containsText" text="BEARISH">
      <formula>NOT(ISERROR(SEARCH("BEARISH",A30)))</formula>
    </cfRule>
  </conditionalFormatting>
  <conditionalFormatting sqref="A30:A40">
    <cfRule type="containsText" dxfId="155" priority="303" operator="containsText" text="BULLISH">
      <formula>NOT(ISERROR(SEARCH("BULLISH",A30)))</formula>
    </cfRule>
  </conditionalFormatting>
  <conditionalFormatting sqref="G30:G40">
    <cfRule type="colorScale" priority="312">
      <colorScale>
        <cfvo type="min"/>
        <cfvo type="max"/>
        <color rgb="FFFFEF9C"/>
        <color rgb="FF63BE7B"/>
      </colorScale>
    </cfRule>
  </conditionalFormatting>
  <conditionalFormatting sqref="K30:K40">
    <cfRule type="colorScale" priority="313">
      <colorScale>
        <cfvo type="min"/>
        <cfvo type="max"/>
        <color rgb="FFFF7128"/>
        <color rgb="FFFFEF9C"/>
      </colorScale>
    </cfRule>
  </conditionalFormatting>
  <conditionalFormatting sqref="N30:N40">
    <cfRule type="dataBar" priority="314">
      <dataBar>
        <cfvo type="min"/>
        <cfvo type="max"/>
        <color rgb="FFFF555A"/>
      </dataBar>
    </cfRule>
  </conditionalFormatting>
  <conditionalFormatting sqref="D30:D40">
    <cfRule type="dataBar" priority="315">
      <dataBar>
        <cfvo type="min"/>
        <cfvo type="max"/>
        <color rgb="FFFF555A"/>
      </dataBar>
    </cfRule>
  </conditionalFormatting>
  <conditionalFormatting sqref="E30:E40">
    <cfRule type="top10" dxfId="154" priority="316" rank="1"/>
  </conditionalFormatting>
  <conditionalFormatting sqref="M30:M40">
    <cfRule type="top10" dxfId="153" priority="317" rank="1"/>
  </conditionalFormatting>
  <conditionalFormatting sqref="F30:F40 L30:L40">
    <cfRule type="cellIs" dxfId="152" priority="320" operator="equal">
      <formula>#REF!</formula>
    </cfRule>
  </conditionalFormatting>
  <conditionalFormatting sqref="L30:L40">
    <cfRule type="cellIs" dxfId="151" priority="321" operator="equal">
      <formula>#REF!</formula>
    </cfRule>
  </conditionalFormatting>
  <conditionalFormatting sqref="F30:F40">
    <cfRule type="top10" dxfId="150" priority="322" rank="1"/>
    <cfRule type="cellIs" dxfId="149" priority="323" operator="equal">
      <formula>#REF!</formula>
    </cfRule>
  </conditionalFormatting>
  <conditionalFormatting sqref="L30:L40">
    <cfRule type="top10" dxfId="148" priority="324" rank="1"/>
    <cfRule type="cellIs" dxfId="147" priority="325" operator="equal">
      <formula>#REF!</formula>
    </cfRule>
  </conditionalFormatting>
  <conditionalFormatting sqref="A41">
    <cfRule type="containsText" dxfId="146" priority="294" operator="containsText" text="BEARISH">
      <formula>NOT(ISERROR(SEARCH("BEARISH",A41)))</formula>
    </cfRule>
  </conditionalFormatting>
  <conditionalFormatting sqref="A41">
    <cfRule type="containsText" dxfId="145" priority="293" operator="containsText" text="BULLISH">
      <formula>NOT(ISERROR(SEARCH("BULLISH",A41)))</formula>
    </cfRule>
  </conditionalFormatting>
  <conditionalFormatting sqref="Q43:Q53">
    <cfRule type="containsText" dxfId="144" priority="277" operator="containsText" text="BEARISH">
      <formula>NOT(ISERROR(SEARCH("BEARISH",Q43)))</formula>
    </cfRule>
  </conditionalFormatting>
  <conditionalFormatting sqref="Q43:Q53">
    <cfRule type="containsText" dxfId="143" priority="276" operator="containsText" text="BULLISH">
      <formula>NOT(ISERROR(SEARCH("BULLISH",Q43)))</formula>
    </cfRule>
  </conditionalFormatting>
  <conditionalFormatting sqref="P43:P53 B43:B53">
    <cfRule type="containsText" dxfId="142" priority="282" operator="containsText" text="Short Buildup">
      <formula>NOT(ISERROR(SEARCH("Short Buildup",B43)))</formula>
    </cfRule>
    <cfRule type="containsText" dxfId="141" priority="283" operator="containsText" text="Long Liquidation">
      <formula>NOT(ISERROR(SEARCH("Long Liquidation",B43)))</formula>
    </cfRule>
    <cfRule type="containsText" dxfId="140" priority="284" operator="containsText" text="Short covering">
      <formula>NOT(ISERROR(SEARCH("Short covering",B43)))</formula>
    </cfRule>
    <cfRule type="containsText" dxfId="139" priority="285" operator="containsText" text="Long Buildup">
      <formula>NOT(ISERROR(SEARCH("Long Buildup",B43)))</formula>
    </cfRule>
  </conditionalFormatting>
  <conditionalFormatting sqref="C43:C53 O43:O53">
    <cfRule type="containsText" dxfId="138" priority="281" operator="containsText" text="DOWN">
      <formula>NOT(ISERROR(SEARCH("DOWN",C43)))</formula>
    </cfRule>
  </conditionalFormatting>
  <conditionalFormatting sqref="C43:C53 O43:O53">
    <cfRule type="containsText" dxfId="137" priority="280" operator="containsText" text="UP">
      <formula>NOT(ISERROR(SEARCH("UP",C43)))</formula>
    </cfRule>
  </conditionalFormatting>
  <conditionalFormatting sqref="F43:F53 L43:L53">
    <cfRule type="cellIs" dxfId="136" priority="286" operator="equal">
      <formula>#REF!</formula>
    </cfRule>
  </conditionalFormatting>
  <conditionalFormatting sqref="A43:A53">
    <cfRule type="containsText" dxfId="135" priority="279" operator="containsText" text="BEARISH">
      <formula>NOT(ISERROR(SEARCH("BEARISH",A43)))</formula>
    </cfRule>
  </conditionalFormatting>
  <conditionalFormatting sqref="A43:A53">
    <cfRule type="containsText" dxfId="134" priority="278" operator="containsText" text="BULLISH">
      <formula>NOT(ISERROR(SEARCH("BULLISH",A43)))</formula>
    </cfRule>
  </conditionalFormatting>
  <conditionalFormatting sqref="G43:G53">
    <cfRule type="colorScale" priority="287">
      <colorScale>
        <cfvo type="min"/>
        <cfvo type="max"/>
        <color rgb="FFFFEF9C"/>
        <color rgb="FF63BE7B"/>
      </colorScale>
    </cfRule>
  </conditionalFormatting>
  <conditionalFormatting sqref="K43:K53">
    <cfRule type="colorScale" priority="288">
      <colorScale>
        <cfvo type="min"/>
        <cfvo type="max"/>
        <color rgb="FFFF7128"/>
        <color rgb="FFFFEF9C"/>
      </colorScale>
    </cfRule>
  </conditionalFormatting>
  <conditionalFormatting sqref="N43:N53">
    <cfRule type="dataBar" priority="289">
      <dataBar>
        <cfvo type="min"/>
        <cfvo type="max"/>
        <color rgb="FFFF555A"/>
      </dataBar>
    </cfRule>
  </conditionalFormatting>
  <conditionalFormatting sqref="D43:D53">
    <cfRule type="dataBar" priority="290">
      <dataBar>
        <cfvo type="min"/>
        <cfvo type="max"/>
        <color rgb="FFFF555A"/>
      </dataBar>
    </cfRule>
  </conditionalFormatting>
  <conditionalFormatting sqref="E43:E53">
    <cfRule type="top10" dxfId="133" priority="291" rank="1"/>
  </conditionalFormatting>
  <conditionalFormatting sqref="M43:M53">
    <cfRule type="top10" dxfId="132" priority="292" rank="1"/>
  </conditionalFormatting>
  <conditionalFormatting sqref="F43:F53 L43:L53">
    <cfRule type="cellIs" dxfId="131" priority="295" operator="equal">
      <formula>#REF!</formula>
    </cfRule>
  </conditionalFormatting>
  <conditionalFormatting sqref="L43:L53">
    <cfRule type="cellIs" dxfId="130" priority="296" operator="equal">
      <formula>#REF!</formula>
    </cfRule>
  </conditionalFormatting>
  <conditionalFormatting sqref="F43:F53">
    <cfRule type="top10" dxfId="129" priority="297" rank="1"/>
    <cfRule type="cellIs" dxfId="128" priority="298" operator="equal">
      <formula>#REF!</formula>
    </cfRule>
  </conditionalFormatting>
  <conditionalFormatting sqref="L43:L53">
    <cfRule type="top10" dxfId="127" priority="299" rank="1"/>
    <cfRule type="cellIs" dxfId="126" priority="300" operator="equal">
      <formula>#REF!</formula>
    </cfRule>
  </conditionalFormatting>
  <conditionalFormatting sqref="A54">
    <cfRule type="containsText" dxfId="125" priority="269" operator="containsText" text="BEARISH">
      <formula>NOT(ISERROR(SEARCH("BEARISH",A54)))</formula>
    </cfRule>
  </conditionalFormatting>
  <conditionalFormatting sqref="A54">
    <cfRule type="containsText" dxfId="124" priority="268" operator="containsText" text="BULLISH">
      <formula>NOT(ISERROR(SEARCH("BULLISH",A54)))</formula>
    </cfRule>
  </conditionalFormatting>
  <conditionalFormatting sqref="Q56:Q66">
    <cfRule type="containsText" dxfId="123" priority="252" operator="containsText" text="BEARISH">
      <formula>NOT(ISERROR(SEARCH("BEARISH",Q56)))</formula>
    </cfRule>
  </conditionalFormatting>
  <conditionalFormatting sqref="Q56:Q66">
    <cfRule type="containsText" dxfId="122" priority="251" operator="containsText" text="BULLISH">
      <formula>NOT(ISERROR(SEARCH("BULLISH",Q56)))</formula>
    </cfRule>
  </conditionalFormatting>
  <conditionalFormatting sqref="P56:P66 B56:B66">
    <cfRule type="containsText" dxfId="121" priority="257" operator="containsText" text="Short Buildup">
      <formula>NOT(ISERROR(SEARCH("Short Buildup",B56)))</formula>
    </cfRule>
    <cfRule type="containsText" dxfId="120" priority="258" operator="containsText" text="Long Liquidation">
      <formula>NOT(ISERROR(SEARCH("Long Liquidation",B56)))</formula>
    </cfRule>
    <cfRule type="containsText" dxfId="119" priority="259" operator="containsText" text="Short covering">
      <formula>NOT(ISERROR(SEARCH("Short covering",B56)))</formula>
    </cfRule>
    <cfRule type="containsText" dxfId="118" priority="260" operator="containsText" text="Long Buildup">
      <formula>NOT(ISERROR(SEARCH("Long Buildup",B56)))</formula>
    </cfRule>
  </conditionalFormatting>
  <conditionalFormatting sqref="C56:C66 O56:O66">
    <cfRule type="containsText" dxfId="117" priority="256" operator="containsText" text="DOWN">
      <formula>NOT(ISERROR(SEARCH("DOWN",C56)))</formula>
    </cfRule>
  </conditionalFormatting>
  <conditionalFormatting sqref="C56:C66 O56:O66">
    <cfRule type="containsText" dxfId="116" priority="255" operator="containsText" text="UP">
      <formula>NOT(ISERROR(SEARCH("UP",C56)))</formula>
    </cfRule>
  </conditionalFormatting>
  <conditionalFormatting sqref="F56:F66 L56:L66">
    <cfRule type="cellIs" dxfId="115" priority="261" operator="equal">
      <formula>#REF!</formula>
    </cfRule>
  </conditionalFormatting>
  <conditionalFormatting sqref="A56:A66">
    <cfRule type="containsText" dxfId="114" priority="254" operator="containsText" text="BEARISH">
      <formula>NOT(ISERROR(SEARCH("BEARISH",A56)))</formula>
    </cfRule>
  </conditionalFormatting>
  <conditionalFormatting sqref="A56:A66">
    <cfRule type="containsText" dxfId="113" priority="253" operator="containsText" text="BULLISH">
      <formula>NOT(ISERROR(SEARCH("BULLISH",A56)))</formula>
    </cfRule>
  </conditionalFormatting>
  <conditionalFormatting sqref="G56:G66">
    <cfRule type="colorScale" priority="262">
      <colorScale>
        <cfvo type="min"/>
        <cfvo type="max"/>
        <color rgb="FFFFEF9C"/>
        <color rgb="FF63BE7B"/>
      </colorScale>
    </cfRule>
  </conditionalFormatting>
  <conditionalFormatting sqref="K56:K66">
    <cfRule type="colorScale" priority="263">
      <colorScale>
        <cfvo type="min"/>
        <cfvo type="max"/>
        <color rgb="FFFF7128"/>
        <color rgb="FFFFEF9C"/>
      </colorScale>
    </cfRule>
  </conditionalFormatting>
  <conditionalFormatting sqref="N56:N66">
    <cfRule type="dataBar" priority="264">
      <dataBar>
        <cfvo type="min"/>
        <cfvo type="max"/>
        <color rgb="FFFF555A"/>
      </dataBar>
    </cfRule>
  </conditionalFormatting>
  <conditionalFormatting sqref="D56:D66">
    <cfRule type="dataBar" priority="265">
      <dataBar>
        <cfvo type="min"/>
        <cfvo type="max"/>
        <color rgb="FFFF555A"/>
      </dataBar>
    </cfRule>
  </conditionalFormatting>
  <conditionalFormatting sqref="E56:E66">
    <cfRule type="top10" dxfId="112" priority="266" rank="1"/>
  </conditionalFormatting>
  <conditionalFormatting sqref="M56:M66">
    <cfRule type="top10" dxfId="111" priority="267" rank="1"/>
  </conditionalFormatting>
  <conditionalFormatting sqref="F56:F66 L56:L66">
    <cfRule type="cellIs" dxfId="110" priority="270" operator="equal">
      <formula>#REF!</formula>
    </cfRule>
  </conditionalFormatting>
  <conditionalFormatting sqref="L56:L66">
    <cfRule type="cellIs" dxfId="109" priority="271" operator="equal">
      <formula>#REF!</formula>
    </cfRule>
  </conditionalFormatting>
  <conditionalFormatting sqref="F56:F66">
    <cfRule type="top10" dxfId="108" priority="272" rank="1"/>
    <cfRule type="cellIs" dxfId="107" priority="273" operator="equal">
      <formula>#REF!</formula>
    </cfRule>
  </conditionalFormatting>
  <conditionalFormatting sqref="L56:L66">
    <cfRule type="top10" dxfId="106" priority="274" rank="1"/>
    <cfRule type="cellIs" dxfId="105" priority="275" operator="equal">
      <formula>#REF!</formula>
    </cfRule>
  </conditionalFormatting>
  <conditionalFormatting sqref="A67">
    <cfRule type="containsText" dxfId="104" priority="244" operator="containsText" text="BEARISH">
      <formula>NOT(ISERROR(SEARCH("BEARISH",A67)))</formula>
    </cfRule>
  </conditionalFormatting>
  <conditionalFormatting sqref="A67">
    <cfRule type="containsText" dxfId="103" priority="243" operator="containsText" text="BULLISH">
      <formula>NOT(ISERROR(SEARCH("BULLISH",A67)))</formula>
    </cfRule>
  </conditionalFormatting>
  <conditionalFormatting sqref="Q69:Q79">
    <cfRule type="containsText" dxfId="102" priority="227" operator="containsText" text="BEARISH">
      <formula>NOT(ISERROR(SEARCH("BEARISH",Q69)))</formula>
    </cfRule>
  </conditionalFormatting>
  <conditionalFormatting sqref="Q69:Q79">
    <cfRule type="containsText" dxfId="101" priority="226" operator="containsText" text="BULLISH">
      <formula>NOT(ISERROR(SEARCH("BULLISH",Q69)))</formula>
    </cfRule>
  </conditionalFormatting>
  <conditionalFormatting sqref="P69:P79 B69:B79">
    <cfRule type="containsText" dxfId="100" priority="232" operator="containsText" text="Short Buildup">
      <formula>NOT(ISERROR(SEARCH("Short Buildup",B69)))</formula>
    </cfRule>
    <cfRule type="containsText" dxfId="99" priority="233" operator="containsText" text="Long Liquidation">
      <formula>NOT(ISERROR(SEARCH("Long Liquidation",B69)))</formula>
    </cfRule>
    <cfRule type="containsText" dxfId="98" priority="234" operator="containsText" text="Short covering">
      <formula>NOT(ISERROR(SEARCH("Short covering",B69)))</formula>
    </cfRule>
    <cfRule type="containsText" dxfId="97" priority="235" operator="containsText" text="Long Buildup">
      <formula>NOT(ISERROR(SEARCH("Long Buildup",B69)))</formula>
    </cfRule>
  </conditionalFormatting>
  <conditionalFormatting sqref="C69:C79 O69:O79">
    <cfRule type="containsText" dxfId="96" priority="231" operator="containsText" text="DOWN">
      <formula>NOT(ISERROR(SEARCH("DOWN",C69)))</formula>
    </cfRule>
  </conditionalFormatting>
  <conditionalFormatting sqref="C69:C79 O69:O79">
    <cfRule type="containsText" dxfId="95" priority="230" operator="containsText" text="UP">
      <formula>NOT(ISERROR(SEARCH("UP",C69)))</formula>
    </cfRule>
  </conditionalFormatting>
  <conditionalFormatting sqref="F69:F79 L69:L79">
    <cfRule type="cellIs" dxfId="94" priority="236" operator="equal">
      <formula>#REF!</formula>
    </cfRule>
  </conditionalFormatting>
  <conditionalFormatting sqref="A69:A79">
    <cfRule type="containsText" dxfId="93" priority="229" operator="containsText" text="BEARISH">
      <formula>NOT(ISERROR(SEARCH("BEARISH",A69)))</formula>
    </cfRule>
  </conditionalFormatting>
  <conditionalFormatting sqref="A69:A79">
    <cfRule type="containsText" dxfId="92" priority="228" operator="containsText" text="BULLISH">
      <formula>NOT(ISERROR(SEARCH("BULLISH",A69)))</formula>
    </cfRule>
  </conditionalFormatting>
  <conditionalFormatting sqref="G69:G79">
    <cfRule type="colorScale" priority="237">
      <colorScale>
        <cfvo type="min"/>
        <cfvo type="max"/>
        <color rgb="FFFFEF9C"/>
        <color rgb="FF63BE7B"/>
      </colorScale>
    </cfRule>
  </conditionalFormatting>
  <conditionalFormatting sqref="K69:K79">
    <cfRule type="colorScale" priority="238">
      <colorScale>
        <cfvo type="min"/>
        <cfvo type="max"/>
        <color rgb="FFFF7128"/>
        <color rgb="FFFFEF9C"/>
      </colorScale>
    </cfRule>
  </conditionalFormatting>
  <conditionalFormatting sqref="N69:N79">
    <cfRule type="dataBar" priority="239">
      <dataBar>
        <cfvo type="min"/>
        <cfvo type="max"/>
        <color rgb="FFFF555A"/>
      </dataBar>
    </cfRule>
  </conditionalFormatting>
  <conditionalFormatting sqref="D69:D79">
    <cfRule type="dataBar" priority="240">
      <dataBar>
        <cfvo type="min"/>
        <cfvo type="max"/>
        <color rgb="FFFF555A"/>
      </dataBar>
    </cfRule>
  </conditionalFormatting>
  <conditionalFormatting sqref="E69:E79">
    <cfRule type="top10" dxfId="91" priority="241" rank="1"/>
  </conditionalFormatting>
  <conditionalFormatting sqref="M69:M79">
    <cfRule type="top10" dxfId="90" priority="242" rank="1"/>
  </conditionalFormatting>
  <conditionalFormatting sqref="F69:F79 L69:L79">
    <cfRule type="cellIs" dxfId="89" priority="245" operator="equal">
      <formula>#REF!</formula>
    </cfRule>
  </conditionalFormatting>
  <conditionalFormatting sqref="L69:L79">
    <cfRule type="cellIs" dxfId="88" priority="246" operator="equal">
      <formula>#REF!</formula>
    </cfRule>
  </conditionalFormatting>
  <conditionalFormatting sqref="F69:F79">
    <cfRule type="top10" dxfId="87" priority="247" rank="1"/>
    <cfRule type="cellIs" dxfId="86" priority="248" operator="equal">
      <formula>#REF!</formula>
    </cfRule>
  </conditionalFormatting>
  <conditionalFormatting sqref="L69:L79">
    <cfRule type="top10" dxfId="85" priority="249" rank="1"/>
    <cfRule type="cellIs" dxfId="84" priority="250" operator="equal">
      <formula>#REF!</formula>
    </cfRule>
  </conditionalFormatting>
  <conditionalFormatting sqref="A80">
    <cfRule type="containsText" dxfId="83" priority="219" operator="containsText" text="BEARISH">
      <formula>NOT(ISERROR(SEARCH("BEARISH",A80)))</formula>
    </cfRule>
  </conditionalFormatting>
  <conditionalFormatting sqref="A80">
    <cfRule type="containsText" dxfId="82" priority="218" operator="containsText" text="BULLISH">
      <formula>NOT(ISERROR(SEARCH("BULLISH",A80)))</formula>
    </cfRule>
  </conditionalFormatting>
  <conditionalFormatting sqref="Q82:Q92">
    <cfRule type="containsText" dxfId="81" priority="202" operator="containsText" text="BEARISH">
      <formula>NOT(ISERROR(SEARCH("BEARISH",Q82)))</formula>
    </cfRule>
  </conditionalFormatting>
  <conditionalFormatting sqref="Q82:Q92">
    <cfRule type="containsText" dxfId="80" priority="201" operator="containsText" text="BULLISH">
      <formula>NOT(ISERROR(SEARCH("BULLISH",Q82)))</formula>
    </cfRule>
  </conditionalFormatting>
  <conditionalFormatting sqref="P82:P92 B82:B92">
    <cfRule type="containsText" dxfId="79" priority="207" operator="containsText" text="Short Buildup">
      <formula>NOT(ISERROR(SEARCH("Short Buildup",B82)))</formula>
    </cfRule>
    <cfRule type="containsText" dxfId="78" priority="208" operator="containsText" text="Long Liquidation">
      <formula>NOT(ISERROR(SEARCH("Long Liquidation",B82)))</formula>
    </cfRule>
    <cfRule type="containsText" dxfId="77" priority="209" operator="containsText" text="Short covering">
      <formula>NOT(ISERROR(SEARCH("Short covering",B82)))</formula>
    </cfRule>
    <cfRule type="containsText" dxfId="76" priority="210" operator="containsText" text="Long Buildup">
      <formula>NOT(ISERROR(SEARCH("Long Buildup",B82)))</formula>
    </cfRule>
  </conditionalFormatting>
  <conditionalFormatting sqref="C82:C92 O82:O92">
    <cfRule type="containsText" dxfId="75" priority="206" operator="containsText" text="DOWN">
      <formula>NOT(ISERROR(SEARCH("DOWN",C82)))</formula>
    </cfRule>
  </conditionalFormatting>
  <conditionalFormatting sqref="C82:C92 O82:O92">
    <cfRule type="containsText" dxfId="74" priority="205" operator="containsText" text="UP">
      <formula>NOT(ISERROR(SEARCH("UP",C82)))</formula>
    </cfRule>
  </conditionalFormatting>
  <conditionalFormatting sqref="F82:F92 L82:L92">
    <cfRule type="cellIs" dxfId="73" priority="211" operator="equal">
      <formula>#REF!</formula>
    </cfRule>
  </conditionalFormatting>
  <conditionalFormatting sqref="A82:A92">
    <cfRule type="containsText" dxfId="72" priority="204" operator="containsText" text="BEARISH">
      <formula>NOT(ISERROR(SEARCH("BEARISH",A82)))</formula>
    </cfRule>
  </conditionalFormatting>
  <conditionalFormatting sqref="A82:A92">
    <cfRule type="containsText" dxfId="71" priority="203" operator="containsText" text="BULLISH">
      <formula>NOT(ISERROR(SEARCH("BULLISH",A82)))</formula>
    </cfRule>
  </conditionalFormatting>
  <conditionalFormatting sqref="G82:G92">
    <cfRule type="colorScale" priority="212">
      <colorScale>
        <cfvo type="min"/>
        <cfvo type="max"/>
        <color rgb="FFFFEF9C"/>
        <color rgb="FF63BE7B"/>
      </colorScale>
    </cfRule>
  </conditionalFormatting>
  <conditionalFormatting sqref="K82:K92">
    <cfRule type="colorScale" priority="213">
      <colorScale>
        <cfvo type="min"/>
        <cfvo type="max"/>
        <color rgb="FFFF7128"/>
        <color rgb="FFFFEF9C"/>
      </colorScale>
    </cfRule>
  </conditionalFormatting>
  <conditionalFormatting sqref="N82:N92">
    <cfRule type="dataBar" priority="214">
      <dataBar>
        <cfvo type="min"/>
        <cfvo type="max"/>
        <color rgb="FFFF555A"/>
      </dataBar>
    </cfRule>
  </conditionalFormatting>
  <conditionalFormatting sqref="D82:D92">
    <cfRule type="dataBar" priority="215">
      <dataBar>
        <cfvo type="min"/>
        <cfvo type="max"/>
        <color rgb="FFFF555A"/>
      </dataBar>
    </cfRule>
  </conditionalFormatting>
  <conditionalFormatting sqref="E82:E92">
    <cfRule type="top10" dxfId="70" priority="216" rank="1"/>
  </conditionalFormatting>
  <conditionalFormatting sqref="M82:M92">
    <cfRule type="top10" dxfId="69" priority="217" rank="1"/>
  </conditionalFormatting>
  <conditionalFormatting sqref="F82:F92 L82:L92">
    <cfRule type="cellIs" dxfId="68" priority="220" operator="equal">
      <formula>#REF!</formula>
    </cfRule>
  </conditionalFormatting>
  <conditionalFormatting sqref="L82:L92">
    <cfRule type="cellIs" dxfId="67" priority="221" operator="equal">
      <formula>#REF!</formula>
    </cfRule>
  </conditionalFormatting>
  <conditionalFormatting sqref="F82:F92">
    <cfRule type="top10" dxfId="66" priority="222" rank="1"/>
    <cfRule type="cellIs" dxfId="65" priority="223" operator="equal">
      <formula>#REF!</formula>
    </cfRule>
  </conditionalFormatting>
  <conditionalFormatting sqref="L82:L92">
    <cfRule type="top10" dxfId="64" priority="224" rank="1"/>
    <cfRule type="cellIs" dxfId="63" priority="225" operator="equal">
      <formula>#REF!</formula>
    </cfRule>
  </conditionalFormatting>
  <conditionalFormatting sqref="A93">
    <cfRule type="containsText" dxfId="62" priority="194" operator="containsText" text="BEARISH">
      <formula>NOT(ISERROR(SEARCH("BEARISH",A93)))</formula>
    </cfRule>
  </conditionalFormatting>
  <conditionalFormatting sqref="A93">
    <cfRule type="containsText" dxfId="61" priority="193" operator="containsText" text="BULLISH">
      <formula>NOT(ISERROR(SEARCH("BULLISH",A93)))</formula>
    </cfRule>
  </conditionalFormatting>
  <conditionalFormatting sqref="Q95:Q105">
    <cfRule type="containsText" dxfId="60" priority="177" operator="containsText" text="BEARISH">
      <formula>NOT(ISERROR(SEARCH("BEARISH",Q95)))</formula>
    </cfRule>
  </conditionalFormatting>
  <conditionalFormatting sqref="Q95:Q105">
    <cfRule type="containsText" dxfId="59" priority="176" operator="containsText" text="BULLISH">
      <formula>NOT(ISERROR(SEARCH("BULLISH",Q95)))</formula>
    </cfRule>
  </conditionalFormatting>
  <conditionalFormatting sqref="P95:P105 B95:B105">
    <cfRule type="containsText" dxfId="58" priority="182" operator="containsText" text="Short Buildup">
      <formula>NOT(ISERROR(SEARCH("Short Buildup",B95)))</formula>
    </cfRule>
    <cfRule type="containsText" dxfId="57" priority="183" operator="containsText" text="Long Liquidation">
      <formula>NOT(ISERROR(SEARCH("Long Liquidation",B95)))</formula>
    </cfRule>
    <cfRule type="containsText" dxfId="56" priority="184" operator="containsText" text="Short covering">
      <formula>NOT(ISERROR(SEARCH("Short covering",B95)))</formula>
    </cfRule>
    <cfRule type="containsText" dxfId="55" priority="185" operator="containsText" text="Long Buildup">
      <formula>NOT(ISERROR(SEARCH("Long Buildup",B95)))</formula>
    </cfRule>
  </conditionalFormatting>
  <conditionalFormatting sqref="C95:C105 O95:O105">
    <cfRule type="containsText" dxfId="54" priority="181" operator="containsText" text="DOWN">
      <formula>NOT(ISERROR(SEARCH("DOWN",C95)))</formula>
    </cfRule>
  </conditionalFormatting>
  <conditionalFormatting sqref="C95:C105 O95:O105">
    <cfRule type="containsText" dxfId="53" priority="180" operator="containsText" text="UP">
      <formula>NOT(ISERROR(SEARCH("UP",C95)))</formula>
    </cfRule>
  </conditionalFormatting>
  <conditionalFormatting sqref="F95:F105 L95:L105">
    <cfRule type="cellIs" dxfId="52" priority="186" operator="equal">
      <formula>#REF!</formula>
    </cfRule>
  </conditionalFormatting>
  <conditionalFormatting sqref="A95:A105">
    <cfRule type="containsText" dxfId="51" priority="179" operator="containsText" text="BEARISH">
      <formula>NOT(ISERROR(SEARCH("BEARISH",A95)))</formula>
    </cfRule>
  </conditionalFormatting>
  <conditionalFormatting sqref="A95:A105">
    <cfRule type="containsText" dxfId="50" priority="178" operator="containsText" text="BULLISH">
      <formula>NOT(ISERROR(SEARCH("BULLISH",A95)))</formula>
    </cfRule>
  </conditionalFormatting>
  <conditionalFormatting sqref="G95:G105">
    <cfRule type="colorScale" priority="187">
      <colorScale>
        <cfvo type="min"/>
        <cfvo type="max"/>
        <color rgb="FFFFEF9C"/>
        <color rgb="FF63BE7B"/>
      </colorScale>
    </cfRule>
  </conditionalFormatting>
  <conditionalFormatting sqref="K95:K105">
    <cfRule type="colorScale" priority="188">
      <colorScale>
        <cfvo type="min"/>
        <cfvo type="max"/>
        <color rgb="FFFF7128"/>
        <color rgb="FFFFEF9C"/>
      </colorScale>
    </cfRule>
  </conditionalFormatting>
  <conditionalFormatting sqref="N95:N105">
    <cfRule type="dataBar" priority="189">
      <dataBar>
        <cfvo type="min"/>
        <cfvo type="max"/>
        <color rgb="FFFF555A"/>
      </dataBar>
    </cfRule>
  </conditionalFormatting>
  <conditionalFormatting sqref="D95:D105">
    <cfRule type="dataBar" priority="190">
      <dataBar>
        <cfvo type="min"/>
        <cfvo type="max"/>
        <color rgb="FFFF555A"/>
      </dataBar>
    </cfRule>
  </conditionalFormatting>
  <conditionalFormatting sqref="E95:E105">
    <cfRule type="top10" dxfId="49" priority="191" rank="1"/>
  </conditionalFormatting>
  <conditionalFormatting sqref="M95:M105">
    <cfRule type="top10" dxfId="48" priority="192" rank="1"/>
  </conditionalFormatting>
  <conditionalFormatting sqref="F95:F105 L95:L105">
    <cfRule type="cellIs" dxfId="47" priority="195" operator="equal">
      <formula>#REF!</formula>
    </cfRule>
  </conditionalFormatting>
  <conditionalFormatting sqref="L95:L105">
    <cfRule type="cellIs" dxfId="46" priority="196" operator="equal">
      <formula>#REF!</formula>
    </cfRule>
  </conditionalFormatting>
  <conditionalFormatting sqref="F95:F105">
    <cfRule type="top10" dxfId="45" priority="197" rank="1"/>
    <cfRule type="cellIs" dxfId="44" priority="198" operator="equal">
      <formula>#REF!</formula>
    </cfRule>
  </conditionalFormatting>
  <conditionalFormatting sqref="L95:L105">
    <cfRule type="top10" dxfId="43" priority="199" rank="1"/>
    <cfRule type="cellIs" dxfId="42" priority="200" operator="equal">
      <formula>#REF!</formula>
    </cfRule>
  </conditionalFormatting>
  <conditionalFormatting sqref="A119">
    <cfRule type="containsText" dxfId="41" priority="144" operator="containsText" text="BEARISH">
      <formula>NOT(ISERROR(SEARCH("BEARISH",A119)))</formula>
    </cfRule>
  </conditionalFormatting>
  <conditionalFormatting sqref="A119">
    <cfRule type="containsText" dxfId="40" priority="143" operator="containsText" text="BULLISH">
      <formula>NOT(ISERROR(SEARCH("BULLISH",A119)))</formula>
    </cfRule>
  </conditionalFormatting>
  <conditionalFormatting sqref="Q121:Q131">
    <cfRule type="containsText" dxfId="39" priority="127" operator="containsText" text="BEARISH">
      <formula>NOT(ISERROR(SEARCH("BEARISH",Q121)))</formula>
    </cfRule>
  </conditionalFormatting>
  <conditionalFormatting sqref="Q121:Q131">
    <cfRule type="containsText" dxfId="38" priority="126" operator="containsText" text="BULLISH">
      <formula>NOT(ISERROR(SEARCH("BULLISH",Q121)))</formula>
    </cfRule>
  </conditionalFormatting>
  <conditionalFormatting sqref="P121:P131 B121:B131">
    <cfRule type="containsText" dxfId="37" priority="132" operator="containsText" text="Short Buildup">
      <formula>NOT(ISERROR(SEARCH("Short Buildup",B121)))</formula>
    </cfRule>
    <cfRule type="containsText" dxfId="36" priority="133" operator="containsText" text="Long Liquidation">
      <formula>NOT(ISERROR(SEARCH("Long Liquidation",B121)))</formula>
    </cfRule>
    <cfRule type="containsText" dxfId="35" priority="134" operator="containsText" text="Short covering">
      <formula>NOT(ISERROR(SEARCH("Short covering",B121)))</formula>
    </cfRule>
    <cfRule type="containsText" dxfId="34" priority="135" operator="containsText" text="Long Buildup">
      <formula>NOT(ISERROR(SEARCH("Long Buildup",B121)))</formula>
    </cfRule>
  </conditionalFormatting>
  <conditionalFormatting sqref="C121:C131 O121:O131">
    <cfRule type="containsText" dxfId="33" priority="131" operator="containsText" text="DOWN">
      <formula>NOT(ISERROR(SEARCH("DOWN",C121)))</formula>
    </cfRule>
  </conditionalFormatting>
  <conditionalFormatting sqref="C121:C131 O121:O131">
    <cfRule type="containsText" dxfId="32" priority="130" operator="containsText" text="UP">
      <formula>NOT(ISERROR(SEARCH("UP",C121)))</formula>
    </cfRule>
  </conditionalFormatting>
  <conditionalFormatting sqref="F121:F131 L121:L131">
    <cfRule type="cellIs" dxfId="31" priority="136" operator="equal">
      <formula>#REF!</formula>
    </cfRule>
  </conditionalFormatting>
  <conditionalFormatting sqref="A121:A131">
    <cfRule type="containsText" dxfId="30" priority="129" operator="containsText" text="BEARISH">
      <formula>NOT(ISERROR(SEARCH("BEARISH",A121)))</formula>
    </cfRule>
  </conditionalFormatting>
  <conditionalFormatting sqref="A121:A131">
    <cfRule type="containsText" dxfId="29" priority="128" operator="containsText" text="BULLISH">
      <formula>NOT(ISERROR(SEARCH("BULLISH",A121)))</formula>
    </cfRule>
  </conditionalFormatting>
  <conditionalFormatting sqref="G121:G131">
    <cfRule type="colorScale" priority="137">
      <colorScale>
        <cfvo type="min"/>
        <cfvo type="max"/>
        <color rgb="FFFFEF9C"/>
        <color rgb="FF63BE7B"/>
      </colorScale>
    </cfRule>
  </conditionalFormatting>
  <conditionalFormatting sqref="K121:K131">
    <cfRule type="colorScale" priority="138">
      <colorScale>
        <cfvo type="min"/>
        <cfvo type="max"/>
        <color rgb="FFFF7128"/>
        <color rgb="FFFFEF9C"/>
      </colorScale>
    </cfRule>
  </conditionalFormatting>
  <conditionalFormatting sqref="N121:N131">
    <cfRule type="dataBar" priority="139">
      <dataBar>
        <cfvo type="min"/>
        <cfvo type="max"/>
        <color rgb="FFFF555A"/>
      </dataBar>
    </cfRule>
  </conditionalFormatting>
  <conditionalFormatting sqref="D121:D131">
    <cfRule type="dataBar" priority="140">
      <dataBar>
        <cfvo type="min"/>
        <cfvo type="max"/>
        <color rgb="FFFF555A"/>
      </dataBar>
    </cfRule>
  </conditionalFormatting>
  <conditionalFormatting sqref="E121:E131">
    <cfRule type="top10" dxfId="28" priority="141" rank="1"/>
  </conditionalFormatting>
  <conditionalFormatting sqref="M121:M131">
    <cfRule type="top10" dxfId="27" priority="142" rank="1"/>
  </conditionalFormatting>
  <conditionalFormatting sqref="F121:F131 L121:L131">
    <cfRule type="cellIs" dxfId="26" priority="145" operator="equal">
      <formula>#REF!</formula>
    </cfRule>
  </conditionalFormatting>
  <conditionalFormatting sqref="L121:L131">
    <cfRule type="cellIs" dxfId="25" priority="146" operator="equal">
      <formula>#REF!</formula>
    </cfRule>
  </conditionalFormatting>
  <conditionalFormatting sqref="F121:F131">
    <cfRule type="top10" dxfId="24" priority="147" rank="1"/>
    <cfRule type="cellIs" dxfId="23" priority="148" operator="equal">
      <formula>#REF!</formula>
    </cfRule>
  </conditionalFormatting>
  <conditionalFormatting sqref="L121:L131">
    <cfRule type="top10" dxfId="22" priority="149" rank="1"/>
    <cfRule type="cellIs" dxfId="21" priority="150" operator="equal">
      <formula>#REF!</formula>
    </cfRule>
  </conditionalFormatting>
  <conditionalFormatting sqref="A106">
    <cfRule type="containsText" dxfId="20" priority="19" operator="containsText" text="BEARISH">
      <formula>NOT(ISERROR(SEARCH("BEARISH",A106)))</formula>
    </cfRule>
  </conditionalFormatting>
  <conditionalFormatting sqref="A106">
    <cfRule type="containsText" dxfId="19" priority="18" operator="containsText" text="BULLISH">
      <formula>NOT(ISERROR(SEARCH("BULLISH",A106)))</formula>
    </cfRule>
  </conditionalFormatting>
  <conditionalFormatting sqref="Q108:Q118">
    <cfRule type="containsText" dxfId="18" priority="2" operator="containsText" text="BEARISH">
      <formula>NOT(ISERROR(SEARCH("BEARISH",Q108)))</formula>
    </cfRule>
  </conditionalFormatting>
  <conditionalFormatting sqref="Q108:Q118">
    <cfRule type="containsText" dxfId="17" priority="1" operator="containsText" text="BULLISH">
      <formula>NOT(ISERROR(SEARCH("BULLISH",Q108)))</formula>
    </cfRule>
  </conditionalFormatting>
  <conditionalFormatting sqref="P108:P118 B108:B118">
    <cfRule type="containsText" dxfId="16" priority="7" operator="containsText" text="Short Buildup">
      <formula>NOT(ISERROR(SEARCH("Short Buildup",B108)))</formula>
    </cfRule>
    <cfRule type="containsText" dxfId="15" priority="8" operator="containsText" text="Long Liquidation">
      <formula>NOT(ISERROR(SEARCH("Long Liquidation",B108)))</formula>
    </cfRule>
    <cfRule type="containsText" dxfId="14" priority="9" operator="containsText" text="Short covering">
      <formula>NOT(ISERROR(SEARCH("Short covering",B108)))</formula>
    </cfRule>
    <cfRule type="containsText" dxfId="13" priority="10" operator="containsText" text="Long Buildup">
      <formula>NOT(ISERROR(SEARCH("Long Buildup",B108)))</formula>
    </cfRule>
  </conditionalFormatting>
  <conditionalFormatting sqref="C108:C118 O108:O118">
    <cfRule type="containsText" dxfId="12" priority="6" operator="containsText" text="DOWN">
      <formula>NOT(ISERROR(SEARCH("DOWN",C108)))</formula>
    </cfRule>
  </conditionalFormatting>
  <conditionalFormatting sqref="C108:C118 O108:O118">
    <cfRule type="containsText" dxfId="11" priority="5" operator="containsText" text="UP">
      <formula>NOT(ISERROR(SEARCH("UP",C108)))</formula>
    </cfRule>
  </conditionalFormatting>
  <conditionalFormatting sqref="F108:F118 L108:L118">
    <cfRule type="cellIs" dxfId="10" priority="11" operator="equal">
      <formula>#REF!</formula>
    </cfRule>
  </conditionalFormatting>
  <conditionalFormatting sqref="A108:A118">
    <cfRule type="containsText" dxfId="9" priority="4" operator="containsText" text="BEARISH">
      <formula>NOT(ISERROR(SEARCH("BEARISH",A108)))</formula>
    </cfRule>
  </conditionalFormatting>
  <conditionalFormatting sqref="A108:A118">
    <cfRule type="containsText" dxfId="8" priority="3" operator="containsText" text="BULLISH">
      <formula>NOT(ISERROR(SEARCH("BULLISH",A108)))</formula>
    </cfRule>
  </conditionalFormatting>
  <conditionalFormatting sqref="G108:G118">
    <cfRule type="colorScale" priority="12">
      <colorScale>
        <cfvo type="min"/>
        <cfvo type="max"/>
        <color rgb="FFFFEF9C"/>
        <color rgb="FF63BE7B"/>
      </colorScale>
    </cfRule>
  </conditionalFormatting>
  <conditionalFormatting sqref="K108:K118">
    <cfRule type="colorScale" priority="13">
      <colorScale>
        <cfvo type="min"/>
        <cfvo type="max"/>
        <color rgb="FFFF7128"/>
        <color rgb="FFFFEF9C"/>
      </colorScale>
    </cfRule>
  </conditionalFormatting>
  <conditionalFormatting sqref="N108:N118">
    <cfRule type="dataBar" priority="14">
      <dataBar>
        <cfvo type="min"/>
        <cfvo type="max"/>
        <color rgb="FFFF555A"/>
      </dataBar>
    </cfRule>
  </conditionalFormatting>
  <conditionalFormatting sqref="D108:D118">
    <cfRule type="dataBar" priority="15">
      <dataBar>
        <cfvo type="min"/>
        <cfvo type="max"/>
        <color rgb="FFFF555A"/>
      </dataBar>
    </cfRule>
  </conditionalFormatting>
  <conditionalFormatting sqref="E108:E118">
    <cfRule type="top10" dxfId="7" priority="16" rank="1"/>
  </conditionalFormatting>
  <conditionalFormatting sqref="M108:M118">
    <cfRule type="top10" dxfId="6" priority="17" rank="1"/>
  </conditionalFormatting>
  <conditionalFormatting sqref="F108:F118 L108:L118">
    <cfRule type="cellIs" dxfId="5" priority="20" operator="equal">
      <formula>#REF!</formula>
    </cfRule>
  </conditionalFormatting>
  <conditionalFormatting sqref="L108:L118">
    <cfRule type="cellIs" dxfId="4" priority="21" operator="equal">
      <formula>#REF!</formula>
    </cfRule>
  </conditionalFormatting>
  <conditionalFormatting sqref="F108:F118">
    <cfRule type="top10" dxfId="3" priority="22" rank="1"/>
    <cfRule type="cellIs" dxfId="2" priority="23" operator="equal">
      <formula>#REF!</formula>
    </cfRule>
  </conditionalFormatting>
  <conditionalFormatting sqref="L108:L118">
    <cfRule type="top10" dxfId="1" priority="24" rank="1"/>
    <cfRule type="cellIs" dxfId="0" priority="25" operator="equal">
      <formula>#REF!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Workbook_RefreshAll">
                <anchor moveWithCells="1" sizeWithCells="1">
                  <from>
                    <xdr:col>0</xdr:col>
                    <xdr:colOff>22860</xdr:colOff>
                    <xdr:row>1</xdr:row>
                    <xdr:rowOff>38100</xdr:rowOff>
                  </from>
                  <to>
                    <xdr:col>1</xdr:col>
                    <xdr:colOff>487680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PasteSpecial_DATA_1">
                <anchor moveWithCells="1" sizeWithCells="1">
                  <from>
                    <xdr:col>1</xdr:col>
                    <xdr:colOff>480060</xdr:colOff>
                    <xdr:row>1</xdr:row>
                    <xdr:rowOff>121920</xdr:rowOff>
                  </from>
                  <to>
                    <xdr:col>1</xdr:col>
                    <xdr:colOff>1021080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PasteSpecial_DATA_2">
                <anchor moveWithCells="1" sizeWithCells="1">
                  <from>
                    <xdr:col>0</xdr:col>
                    <xdr:colOff>373380</xdr:colOff>
                    <xdr:row>14</xdr:row>
                    <xdr:rowOff>99060</xdr:rowOff>
                  </from>
                  <to>
                    <xdr:col>1</xdr:col>
                    <xdr:colOff>457200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" name="Button 23">
              <controlPr defaultSize="0" print="0" autoFill="0" autoPict="0" macro="[0]!PasteSpecial_DATA_3">
                <anchor moveWithCells="1" sizeWithCells="1">
                  <from>
                    <xdr:col>0</xdr:col>
                    <xdr:colOff>373380</xdr:colOff>
                    <xdr:row>27</xdr:row>
                    <xdr:rowOff>99060</xdr:rowOff>
                  </from>
                  <to>
                    <xdr:col>1</xdr:col>
                    <xdr:colOff>457200</xdr:colOff>
                    <xdr:row>28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8" name="Button 24">
              <controlPr defaultSize="0" print="0" autoFill="0" autoPict="0" macro="[0]!PasteSpecial_DATA_4">
                <anchor moveWithCells="1" sizeWithCells="1">
                  <from>
                    <xdr:col>0</xdr:col>
                    <xdr:colOff>373380</xdr:colOff>
                    <xdr:row>40</xdr:row>
                    <xdr:rowOff>99060</xdr:rowOff>
                  </from>
                  <to>
                    <xdr:col>1</xdr:col>
                    <xdr:colOff>457200</xdr:colOff>
                    <xdr:row>41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" name="Button 25">
              <controlPr defaultSize="0" print="0" autoFill="0" autoPict="0" macro="[0]!PasteSpecial_DATA_5">
                <anchor moveWithCells="1" sizeWithCells="1">
                  <from>
                    <xdr:col>0</xdr:col>
                    <xdr:colOff>373380</xdr:colOff>
                    <xdr:row>53</xdr:row>
                    <xdr:rowOff>99060</xdr:rowOff>
                  </from>
                  <to>
                    <xdr:col>1</xdr:col>
                    <xdr:colOff>457200</xdr:colOff>
                    <xdr:row>54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Button 26">
              <controlPr defaultSize="0" print="0" autoFill="0" autoPict="0" macro="[0]!PasteSpecial_DATA_6">
                <anchor moveWithCells="1" sizeWithCells="1">
                  <from>
                    <xdr:col>0</xdr:col>
                    <xdr:colOff>373380</xdr:colOff>
                    <xdr:row>66</xdr:row>
                    <xdr:rowOff>99060</xdr:rowOff>
                  </from>
                  <to>
                    <xdr:col>1</xdr:col>
                    <xdr:colOff>457200</xdr:colOff>
                    <xdr:row>67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PasteSpecial_DATA_7">
                <anchor moveWithCells="1" sizeWithCells="1">
                  <from>
                    <xdr:col>0</xdr:col>
                    <xdr:colOff>373380</xdr:colOff>
                    <xdr:row>79</xdr:row>
                    <xdr:rowOff>99060</xdr:rowOff>
                  </from>
                  <to>
                    <xdr:col>1</xdr:col>
                    <xdr:colOff>457200</xdr:colOff>
                    <xdr:row>80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PasteSpecial_DATA_8">
                <anchor moveWithCells="1" sizeWithCells="1">
                  <from>
                    <xdr:col>0</xdr:col>
                    <xdr:colOff>373380</xdr:colOff>
                    <xdr:row>92</xdr:row>
                    <xdr:rowOff>99060</xdr:rowOff>
                  </from>
                  <to>
                    <xdr:col>1</xdr:col>
                    <xdr:colOff>457200</xdr:colOff>
                    <xdr:row>93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3" name="Button 30">
              <controlPr defaultSize="0" print="0" autoFill="0" autoPict="0" macro="[0]!PasteSpecial_DATA_10">
                <anchor moveWithCells="1" sizeWithCells="1">
                  <from>
                    <xdr:col>0</xdr:col>
                    <xdr:colOff>373380</xdr:colOff>
                    <xdr:row>118</xdr:row>
                    <xdr:rowOff>99060</xdr:rowOff>
                  </from>
                  <to>
                    <xdr:col>1</xdr:col>
                    <xdr:colOff>457200</xdr:colOff>
                    <xdr:row>119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4" name="Button 31">
              <controlPr defaultSize="0" print="0" autoFill="0" autoPict="0" macro="[0]!PasteSpecial_DATA_9">
                <anchor moveWithCells="1" sizeWithCells="1">
                  <from>
                    <xdr:col>0</xdr:col>
                    <xdr:colOff>373380</xdr:colOff>
                    <xdr:row>105</xdr:row>
                    <xdr:rowOff>99060</xdr:rowOff>
                  </from>
                  <to>
                    <xdr:col>1</xdr:col>
                    <xdr:colOff>457200</xdr:colOff>
                    <xdr:row>106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10"/>
  <sheetViews>
    <sheetView workbookViewId="0">
      <selection activeCell="K11" sqref="K11"/>
    </sheetView>
  </sheetViews>
  <sheetFormatPr defaultRowHeight="14.4" x14ac:dyDescent="0.3"/>
  <cols>
    <col min="4" max="4" width="13.6640625" bestFit="1" customWidth="1"/>
  </cols>
  <sheetData>
    <row r="1" spans="1:4" ht="28.8" x14ac:dyDescent="0.3">
      <c r="B1" s="32" t="s">
        <v>42</v>
      </c>
      <c r="C1" s="32" t="s">
        <v>31</v>
      </c>
      <c r="D1" s="32" t="s">
        <v>35</v>
      </c>
    </row>
    <row r="2" spans="1:4" x14ac:dyDescent="0.3">
      <c r="A2" t="s">
        <v>33</v>
      </c>
      <c r="B2" t="s">
        <v>36</v>
      </c>
      <c r="C2" t="s">
        <v>36</v>
      </c>
      <c r="D2" t="s">
        <v>37</v>
      </c>
    </row>
    <row r="3" spans="1:4" x14ac:dyDescent="0.3">
      <c r="B3" t="s">
        <v>36</v>
      </c>
      <c r="C3" t="s">
        <v>38</v>
      </c>
      <c r="D3" t="s">
        <v>39</v>
      </c>
    </row>
    <row r="4" spans="1:4" x14ac:dyDescent="0.3">
      <c r="B4" t="s">
        <v>38</v>
      </c>
      <c r="C4" t="s">
        <v>38</v>
      </c>
      <c r="D4" t="s">
        <v>40</v>
      </c>
    </row>
    <row r="5" spans="1:4" x14ac:dyDescent="0.3">
      <c r="B5" t="s">
        <v>38</v>
      </c>
      <c r="C5" t="s">
        <v>36</v>
      </c>
      <c r="D5" t="s">
        <v>41</v>
      </c>
    </row>
    <row r="7" spans="1:4" x14ac:dyDescent="0.3">
      <c r="A7" t="s">
        <v>34</v>
      </c>
      <c r="B7" t="s">
        <v>36</v>
      </c>
      <c r="C7" t="s">
        <v>36</v>
      </c>
      <c r="D7" t="s">
        <v>37</v>
      </c>
    </row>
    <row r="8" spans="1:4" x14ac:dyDescent="0.3">
      <c r="B8" t="s">
        <v>36</v>
      </c>
      <c r="C8" t="s">
        <v>38</v>
      </c>
      <c r="D8" t="s">
        <v>39</v>
      </c>
    </row>
    <row r="9" spans="1:4" x14ac:dyDescent="0.3">
      <c r="B9" t="s">
        <v>38</v>
      </c>
      <c r="C9" t="s">
        <v>38</v>
      </c>
      <c r="D9" t="s">
        <v>40</v>
      </c>
    </row>
    <row r="10" spans="1:4" x14ac:dyDescent="0.3">
      <c r="B10" t="s">
        <v>38</v>
      </c>
      <c r="C10" t="s">
        <v>36</v>
      </c>
      <c r="D10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Data Nifty</vt:lpstr>
      <vt:lpstr>MAIN OI</vt:lpstr>
      <vt:lpstr>Sheet2</vt:lpstr>
      <vt:lpstr>Sheet1</vt:lpstr>
      <vt:lpstr>'Data Nifty'!optionKeys.jsp?symbolCode__10006_symbol_NIFTY_symbol_NIFTY_instrument___date___segmentLink_17_symbolCount_2_segmentLink_17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yogesh</dc:creator>
  <cp:lastModifiedBy>Siva Pavilion SSB</cp:lastModifiedBy>
  <dcterms:created xsi:type="dcterms:W3CDTF">2015-02-27T14:47:02Z</dcterms:created>
  <dcterms:modified xsi:type="dcterms:W3CDTF">2019-09-20T14:08:05Z</dcterms:modified>
</cp:coreProperties>
</file>